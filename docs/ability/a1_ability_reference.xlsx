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1 rules" sheetId="1" state="visible" r:id="rId1"/>
    <sheet name="Thresholds" sheetId="2" state="visible" r:id="rId2"/>
    <sheet name="Logic" sheetId="3" state="visible" r:id="rId3"/>
    <sheet name="Examples" sheetId="4" state="visible" r:id="rId4"/>
    <sheet name="Results" sheetId="5" state="visible" r:id="rId5"/>
    <sheet name="Results detail" sheetId="6" state="visible" r:id="rId6"/>
    <sheet name="Results summaries" sheetId="7" state="visible" r:id="rId7"/>
    <sheet name="Salary sources" sheetId="8" state="visible" r:id="rId8"/>
    <sheet name="Results tre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7F7F7F"/>
      <sz val="10"/>
    </font>
    <font>
      <name val="Arial"/>
      <b val="1"/>
      <color rgb="001F3864"/>
      <sz val="10"/>
    </font>
    <font>
      <name val="Arial"/>
      <color rgb="00262626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color rgb="00274E13"/>
      <sz val="10"/>
    </font>
    <font>
      <name val="Arial"/>
      <b val="1"/>
      <color rgb="00375623"/>
      <sz val="10"/>
    </font>
    <font>
      <name val="Arial"/>
      <b val="1"/>
      <color rgb="009C2B12"/>
      <sz val="10"/>
    </font>
    <font>
      <name val="Arial"/>
      <b val="1"/>
      <color rgb="00595959"/>
      <sz val="10"/>
    </font>
    <font>
      <name val="Arial"/>
      <b val="1"/>
      <color rgb="00262626"/>
      <sz val="10"/>
    </font>
    <font>
      <name val="Arial"/>
      <color rgb="007F7F7F"/>
      <sz val="10"/>
    </font>
    <font>
      <name val="Arial"/>
      <b val="1"/>
      <color rgb="007F7F7F"/>
      <sz val="10"/>
    </font>
    <font>
      <name val="Arial"/>
      <color rgb="00375623"/>
      <sz val="10"/>
    </font>
    <font>
      <name val="Arial"/>
      <color rgb="001F4E79"/>
      <sz val="10"/>
    </font>
    <font>
      <name val="Arial"/>
      <color rgb="009C2B12"/>
      <sz val="10"/>
    </font>
    <font>
      <name val="Arial"/>
      <b val="1"/>
      <color rgb="00000000"/>
      <sz val="10"/>
    </font>
    <font>
      <name val="Arial"/>
      <b val="1"/>
      <color rgb="001F4E79"/>
      <sz val="10"/>
    </font>
    <font>
      <name val="Arial"/>
      <color rgb="000000FF"/>
      <sz val="10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A9D08E"/>
        <bgColor rgb="00A9D08E"/>
      </patternFill>
    </fill>
    <fill>
      <patternFill patternType="solid">
        <fgColor rgb="00E2EFDA"/>
        <bgColor rgb="00E2EFDA"/>
      </patternFill>
    </fill>
    <fill>
      <patternFill patternType="solid">
        <fgColor rgb="00FBE2D5"/>
        <bgColor rgb="00FBE2D5"/>
      </patternFill>
    </fill>
    <fill>
      <patternFill patternType="solid">
        <fgColor rgb="00EDEDED"/>
        <bgColor rgb="00EDEDED"/>
      </patternFill>
    </fill>
    <fill>
      <patternFill patternType="solid">
        <fgColor rgb="00DDEBF7"/>
        <bgColor rgb="00DDEBF7"/>
      </patternFill>
    </fill>
    <fill>
      <patternFill patternType="solid">
        <fgColor rgb="00EEF5FB"/>
        <bgColor rgb="00EEF5FB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6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7" fillId="3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9" fillId="5" borderId="2" applyAlignment="1" pivotButton="0" quotePrefix="0" xfId="0">
      <alignment vertical="center" wrapText="1"/>
    </xf>
    <xf numFmtId="0" fontId="10" fillId="6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vertical="top" wrapText="1"/>
    </xf>
    <xf numFmtId="0" fontId="7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14" fillId="4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 wrapText="1"/>
    </xf>
    <xf numFmtId="3" fontId="19" fillId="10" borderId="2" applyAlignment="1" pivotButton="0" quotePrefix="0" xfId="0">
      <alignment vertical="top" wrapText="1"/>
    </xf>
    <xf numFmtId="164" fontId="12" fillId="0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3" fontId="11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10" fillId="6" borderId="2" applyAlignment="1" pivotButton="0" quotePrefix="0" xfId="0">
      <alignment horizontal="center" vertical="center" wrapText="1"/>
    </xf>
    <xf numFmtId="164" fontId="19" fillId="1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E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44" customWidth="1" min="4" max="4"/>
    <col width="44" customWidth="1" min="5" max="5"/>
  </cols>
  <sheetData>
    <row r="1">
      <c r="A1" s="1" t="inlineStr">
        <is>
          <t>A1 Ability</t>
        </is>
      </c>
    </row>
    <row r="2" ht="20" customHeight="1">
      <c r="A2" s="2" t="inlineStr">
        <is>
          <t>State = income points + liquidity points, then distress. Customer-level signals are read across all accounts of the customer (CIF).</t>
        </is>
      </c>
    </row>
    <row r="4" ht="46.5" customHeight="1">
      <c r="A4" s="3" t="inlineStr">
        <is>
          <t>Inputs</t>
        </is>
      </c>
      <c r="B4" s="4" t="inlineStr">
        <is>
          <t>Internal salary credit, AECB salary, CASA average balance, external card payments, cheque bounces, DDS (direct debit) returns, bureau bounces, customer-initiated CASA transactions. Scope: credit cards and retail loans at 61–180 DPD; 180+ DPD follows.</t>
        </is>
      </c>
    </row>
    <row r="6" ht="20" customHeight="1">
      <c r="A6" s="5" t="inlineStr">
        <is>
          <t>States</t>
        </is>
      </c>
      <c r="B6" s="6" t="n"/>
      <c r="C6" s="6" t="n"/>
      <c r="D6" s="6" t="n"/>
      <c r="E6" s="6" t="n"/>
    </row>
    <row r="7" ht="20" customHeight="1">
      <c r="A7" s="7" t="inlineStr">
        <is>
          <t>State</t>
        </is>
      </c>
      <c r="B7" s="7" t="inlineStr">
        <is>
          <t>Rule</t>
        </is>
      </c>
      <c r="C7" s="8" t="n"/>
      <c r="D7" s="9" t="n"/>
      <c r="E7" s="7" t="inlineStr">
        <is>
          <t>In plain words</t>
        </is>
      </c>
    </row>
    <row r="8" ht="20" customHeight="1">
      <c r="A8" s="10" t="inlineStr">
        <is>
          <t>High</t>
        </is>
      </c>
      <c r="B8" s="11" t="inlineStr">
        <is>
          <t>4 points and no distress</t>
        </is>
      </c>
      <c r="C8" s="8" t="n"/>
      <c r="D8" s="9" t="n"/>
      <c r="E8" s="11" t="inlineStr">
        <is>
          <t>Regular income and a buffer, both confirmed</t>
        </is>
      </c>
    </row>
    <row r="9" ht="33" customHeight="1">
      <c r="A9" s="12" t="inlineStr">
        <is>
          <t>Moderate</t>
        </is>
      </c>
      <c r="B9" s="11" t="inlineStr">
        <is>
          <t>≥ 2 but &lt; 4 points and no distress, or 4 points with distress</t>
        </is>
      </c>
      <c r="C9" s="8" t="n"/>
      <c r="D9" s="9" t="n"/>
      <c r="E9" s="11" t="inlineStr">
        <is>
          <t>One side confirmed, or both partly; or everything in place but a payment has just failed</t>
        </is>
      </c>
    </row>
    <row r="10" ht="33" customHeight="1">
      <c r="A10" s="13" t="inlineStr">
        <is>
          <t>Low</t>
        </is>
      </c>
      <c r="B10" s="11" t="inlineStr">
        <is>
          <t>&lt; 2 points with any signal, or &lt; 4 points with distress</t>
        </is>
      </c>
      <c r="C10" s="8" t="n"/>
      <c r="D10" s="9" t="n"/>
      <c r="E10" s="11" t="inlineStr">
        <is>
          <t>What we can see shows little or nothing to pay with</t>
        </is>
      </c>
    </row>
    <row r="11" ht="33" customHeight="1">
      <c r="A11" s="14" t="inlineStr">
        <is>
          <t>Unknown</t>
        </is>
      </c>
      <c r="B11" s="11" t="inlineStr">
        <is>
          <t>0 points, no distress, and no CASA with us or a dormant one (no customer-initiated money movement in the window)</t>
        </is>
      </c>
      <c r="C11" s="8" t="n"/>
      <c r="D11" s="9" t="n"/>
      <c r="E11" s="11" t="inlineStr">
        <is>
          <t>We cannot see the customer's money: absence of data, not evidence of no ability</t>
        </is>
      </c>
    </row>
    <row r="13" ht="20" customHeight="1">
      <c r="A13" s="5" t="inlineStr">
        <is>
          <t>Considerations</t>
        </is>
      </c>
      <c r="B13" s="6" t="n"/>
      <c r="C13" s="6" t="n"/>
      <c r="D13" s="6" t="n"/>
      <c r="E13" s="6" t="n"/>
    </row>
    <row r="14" ht="20" customHeight="1">
      <c r="A14" s="7" t="inlineStr">
        <is>
          <t>Consideration</t>
        </is>
      </c>
      <c r="B14" s="7" t="inlineStr">
        <is>
          <t>Level</t>
        </is>
      </c>
      <c r="C14" s="7" t="inlineStr">
        <is>
          <t>Points</t>
        </is>
      </c>
      <c r="D14" s="7" t="inlineStr">
        <is>
          <t>Rule</t>
        </is>
      </c>
      <c r="E14" s="9" t="n"/>
    </row>
    <row r="15" ht="46.5" customHeight="1">
      <c r="A15" s="15" t="inlineStr">
        <is>
          <t>Income (internal salary credit, AECB salary)</t>
        </is>
      </c>
      <c r="B15" s="15" t="inlineStr">
        <is>
          <t>Stable</t>
        </is>
      </c>
      <c r="C15" s="16" t="inlineStr">
        <is>
          <t>2</t>
        </is>
      </c>
      <c r="D15" s="11" t="inlineStr">
        <is>
          <t>One salary amount per month, the larger of internal and AECB; an AECB salary counts in its extract month and the next. Stable = the window's total ≥ 2 × max(AED 3,000, 2 × the amount due), and the total not more than 25% below the prior window</t>
        </is>
      </c>
      <c r="E15" s="9" t="n"/>
    </row>
    <row r="16" ht="33" customHeight="1">
      <c r="A16" s="15" t="inlineStr"/>
      <c r="B16" s="15" t="inlineStr">
        <is>
          <t>Weak</t>
        </is>
      </c>
      <c r="C16" s="16" t="inlineStr">
        <is>
          <t>1</t>
        </is>
      </c>
      <c r="D16" s="11" t="inlineStr">
        <is>
          <t>Some income in the window (AED 1,000 or more in any month) but not Stable: below threshold, irregular or weakening</t>
        </is>
      </c>
      <c r="E16" s="9" t="n"/>
    </row>
    <row r="17" ht="20" customHeight="1">
      <c r="A17" s="15" t="inlineStr"/>
      <c r="B17" s="15" t="inlineStr">
        <is>
          <t>None</t>
        </is>
      </c>
      <c r="C17" s="16" t="inlineStr">
        <is>
          <t>0</t>
        </is>
      </c>
      <c r="D17" s="11" t="inlineStr">
        <is>
          <t>No internal salary credit and no AECB salary of AED 1,000 or more in any month of the window</t>
        </is>
      </c>
      <c r="E17" s="9" t="n"/>
    </row>
    <row r="18" ht="46.5" customHeight="1">
      <c r="A18" s="15" t="inlineStr">
        <is>
          <t>Liquidity (CASA average balance, external card payments)</t>
        </is>
      </c>
      <c r="B18" s="15" t="inlineStr">
        <is>
          <t>Adequate</t>
        </is>
      </c>
      <c r="C18" s="16" t="inlineStr">
        <is>
          <t>2</t>
        </is>
      </c>
      <c r="D18" s="11" t="inlineStr">
        <is>
          <t>CASA average balance ≥ max(AED 3,000, 1 × the amount due) in at least 2 of the last 3 months and the 3-month average not more than 50% below the prior 3 months. Or at least one external card payment ≥ max(AED 500, 1 × the amount due) in the last 3 months</t>
        </is>
      </c>
      <c r="E18" s="9" t="n"/>
    </row>
    <row r="19" ht="33" customHeight="1">
      <c r="A19" s="15" t="inlineStr"/>
      <c r="B19" s="15" t="inlineStr">
        <is>
          <t>Weak</t>
        </is>
      </c>
      <c r="C19" s="16" t="inlineStr">
        <is>
          <t>1</t>
        </is>
      </c>
      <c r="D19" s="11" t="inlineStr">
        <is>
          <t>Not Adequate, but a CASA average balance of AED 1,000 or more in any of the last 3 months, or any external card payment of that size</t>
        </is>
      </c>
      <c r="E19" s="9" t="n"/>
    </row>
    <row r="20" ht="20" customHeight="1">
      <c r="A20" s="15" t="inlineStr"/>
      <c r="B20" s="15" t="inlineStr">
        <is>
          <t>None</t>
        </is>
      </c>
      <c r="C20" s="16" t="inlineStr">
        <is>
          <t>0</t>
        </is>
      </c>
      <c r="D20" s="11" t="inlineStr">
        <is>
          <t>No CASA average balance and no external card payment of AED 1,000 or more in the last 3 months</t>
        </is>
      </c>
      <c r="E20" s="9" t="n"/>
    </row>
    <row r="21" ht="46.5" customHeight="1">
      <c r="A21" s="15" t="inlineStr">
        <is>
          <t>Distress (cheque bounce, DDS return, bureau bounce)</t>
        </is>
      </c>
      <c r="B21" s="15" t="inlineStr">
        <is>
          <t>Yes</t>
        </is>
      </c>
      <c r="C21" s="16" t="inlineStr">
        <is>
          <t>−1 level</t>
        </is>
      </c>
      <c r="D21" s="11" t="inlineStr">
        <is>
          <t>1 or more cheque bounces, DDS returns or new bureau bounces in the last 3 months</t>
        </is>
      </c>
      <c r="E21" s="9" t="n"/>
    </row>
    <row r="22" ht="33" customHeight="1">
      <c r="A22" s="15" t="inlineStr">
        <is>
          <t>Activity gate (CASA transactions)</t>
        </is>
      </c>
      <c r="B22" s="15" t="inlineStr">
        <is>
          <t>Dormant</t>
        </is>
      </c>
      <c r="C22" s="16" t="inlineStr">
        <is>
          <t>Unknown</t>
        </is>
      </c>
      <c r="D22" s="11" t="inlineStr">
        <is>
          <t>Income None, Liquidity None, no distress, and no customer-initiated CASA transaction in the last 3 months (no CASA at all included)</t>
        </is>
      </c>
      <c r="E22" s="9" t="n"/>
    </row>
    <row r="24" ht="20" customHeight="1">
      <c r="A24" s="5" t="inlineStr">
        <is>
          <t>Map (every combination has one state)</t>
        </is>
      </c>
      <c r="B24" s="6" t="n"/>
      <c r="C24" s="6" t="n"/>
      <c r="D24" s="6" t="n"/>
      <c r="E24" s="6" t="n"/>
    </row>
    <row r="25">
      <c r="A25" s="17" t="inlineStr"/>
      <c r="B25" s="7" t="inlineStr">
        <is>
          <t>Liquidity Adequate</t>
        </is>
      </c>
      <c r="C25" s="9" t="n"/>
      <c r="D25" s="7" t="inlineStr">
        <is>
          <t>Liquidity Weak</t>
        </is>
      </c>
      <c r="E25" s="7" t="inlineStr">
        <is>
          <t>Liquidity None</t>
        </is>
      </c>
    </row>
    <row r="26" ht="30" customHeight="1">
      <c r="A26" s="15" t="inlineStr">
        <is>
          <t>No distress · Income Stable</t>
        </is>
      </c>
      <c r="B26" s="18" t="inlineStr">
        <is>
          <t>High</t>
        </is>
      </c>
      <c r="C26" s="9" t="n"/>
      <c r="D26" s="19" t="inlineStr">
        <is>
          <t>Moderate</t>
        </is>
      </c>
      <c r="E26" s="19" t="inlineStr">
        <is>
          <t>Moderate</t>
        </is>
      </c>
    </row>
    <row r="27" ht="30" customHeight="1">
      <c r="A27" s="15" t="inlineStr">
        <is>
          <t>No distress · Income Weak</t>
        </is>
      </c>
      <c r="B27" s="19" t="inlineStr">
        <is>
          <t>Moderate</t>
        </is>
      </c>
      <c r="C27" s="9" t="n"/>
      <c r="D27" s="19" t="inlineStr">
        <is>
          <t>Moderate</t>
        </is>
      </c>
      <c r="E27" s="20" t="inlineStr">
        <is>
          <t>Low</t>
        </is>
      </c>
    </row>
    <row r="28" ht="30" customHeight="1">
      <c r="A28" s="15" t="inlineStr">
        <is>
          <t>No distress · Income None</t>
        </is>
      </c>
      <c r="B28" s="19" t="inlineStr">
        <is>
          <t>Moderate</t>
        </is>
      </c>
      <c r="C28" s="9" t="n"/>
      <c r="D28" s="20" t="inlineStr">
        <is>
          <t>Low</t>
        </is>
      </c>
      <c r="E28" s="20" t="inlineStr">
        <is>
          <t>Low (Unknown if the CASA is dormant or absent)</t>
        </is>
      </c>
    </row>
    <row r="29" ht="30" customHeight="1">
      <c r="A29" s="15" t="inlineStr">
        <is>
          <t>With distress · Income Stable</t>
        </is>
      </c>
      <c r="B29" s="19" t="inlineStr">
        <is>
          <t>Moderate</t>
        </is>
      </c>
      <c r="C29" s="9" t="n"/>
      <c r="D29" s="20" t="inlineStr">
        <is>
          <t>Low</t>
        </is>
      </c>
      <c r="E29" s="20" t="inlineStr">
        <is>
          <t>Low</t>
        </is>
      </c>
    </row>
    <row r="30" ht="30" customHeight="1">
      <c r="A30" s="15" t="inlineStr">
        <is>
          <t>With distress · Income Weak</t>
        </is>
      </c>
      <c r="B30" s="20" t="inlineStr">
        <is>
          <t>Low</t>
        </is>
      </c>
      <c r="C30" s="9" t="n"/>
      <c r="D30" s="20" t="inlineStr">
        <is>
          <t>Low</t>
        </is>
      </c>
      <c r="E30" s="20" t="inlineStr">
        <is>
          <t>Low</t>
        </is>
      </c>
    </row>
    <row r="31" ht="30" customHeight="1">
      <c r="A31" s="15" t="inlineStr">
        <is>
          <t>With distress · Income None</t>
        </is>
      </c>
      <c r="B31" s="20" t="inlineStr">
        <is>
          <t>Low</t>
        </is>
      </c>
      <c r="C31" s="9" t="n"/>
      <c r="D31" s="20" t="inlineStr">
        <is>
          <t>Low</t>
        </is>
      </c>
      <c r="E31" s="20" t="inlineStr">
        <is>
          <t>Low</t>
        </is>
      </c>
    </row>
    <row r="33" ht="20" customHeight="1">
      <c r="A33" s="5" t="inlineStr">
        <is>
          <t>Reading the results</t>
        </is>
      </c>
      <c r="B33" s="6" t="n"/>
      <c r="C33" s="6" t="n"/>
      <c r="D33" s="6" t="n"/>
      <c r="E33" s="6" t="n"/>
    </row>
    <row r="34" ht="33" customHeight="1">
      <c r="A34" s="4" t="inlineStr">
        <is>
          <t>AECB salary alerts arrive only when something changes, so no alert means nothing is known, not that the salary stopped. Pulls every 2 months would give every customer a value and would show a stop as a pull with no salary.</t>
        </is>
      </c>
    </row>
    <row r="35" ht="33" customHeight="1">
      <c r="A35" s="4" t="inlineStr">
        <is>
          <t>A customer with fewer alerts in the window than before can look like a fall: 912 accounts reach the window total but fail the 25% check. Some are real falls; the data cannot yet split them.</t>
        </is>
      </c>
    </row>
    <row r="36" ht="19.5" customHeight="1">
      <c r="A36" s="4" t="inlineStr">
        <is>
          <t>Weak income with nothing else is Low, so a customer with a reported salary can sit below a customer we know nothing about (Unknown).</t>
        </is>
      </c>
    </row>
    <row r="37" ht="33" customHeight="1">
      <c r="A37" s="4" t="inlineStr">
        <is>
          <t>The AECB amount is taken as accurate on the pull date. It rarely equals the internal salary where both exist, and what it looks back over is not yet known.</t>
        </is>
      </c>
    </row>
    <row r="38" ht="19.5" customHeight="1">
      <c r="A38" s="4" t="inlineStr">
        <is>
          <t>August is the lowest month for Moderate. The alert data used ends on 27 August, so the month is slightly short.</t>
        </is>
      </c>
    </row>
    <row r="39" ht="19.5" customHeight="1">
      <c r="A39" s="4" t="inlineStr">
        <is>
          <t>Internal salary and balances cover the PRB, PSB and PB segments (95% of base customers). Internal salary history starts in September 2024.</t>
        </is>
      </c>
    </row>
  </sheetData>
  <mergeCells count="29">
    <mergeCell ref="B11:D11"/>
    <mergeCell ref="D20:E20"/>
    <mergeCell ref="A34:E34"/>
    <mergeCell ref="A39:E39"/>
    <mergeCell ref="B25:C25"/>
    <mergeCell ref="D19:E19"/>
    <mergeCell ref="B8:D8"/>
    <mergeCell ref="D22:E22"/>
    <mergeCell ref="B31:C31"/>
    <mergeCell ref="A36:E36"/>
    <mergeCell ref="B27:C27"/>
    <mergeCell ref="D21:E21"/>
    <mergeCell ref="B10:D10"/>
    <mergeCell ref="B4:E4"/>
    <mergeCell ref="B9:D9"/>
    <mergeCell ref="A37:E37"/>
    <mergeCell ref="D17:E17"/>
    <mergeCell ref="D16:E16"/>
    <mergeCell ref="B29:C29"/>
    <mergeCell ref="A2:E2"/>
    <mergeCell ref="B28:C28"/>
    <mergeCell ref="D18:E18"/>
    <mergeCell ref="B7:D7"/>
    <mergeCell ref="B30:C30"/>
    <mergeCell ref="A35:E35"/>
    <mergeCell ref="A38:E38"/>
    <mergeCell ref="D15:E15"/>
    <mergeCell ref="D14:E14"/>
    <mergeCell ref="B26:C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Thresholds</t>
        </is>
      </c>
    </row>
    <row r="2" ht="20" customHeight="1">
      <c r="A2" s="2" t="inlineStr">
        <is>
          <t>Starting values, not yet tuned on results.</t>
        </is>
      </c>
    </row>
    <row r="4" ht="20" customHeight="1">
      <c r="A4" s="7" t="inlineStr">
        <is>
          <t>Threshold</t>
        </is>
      </c>
      <c r="B4" s="7" t="inlineStr">
        <is>
          <t>Value</t>
        </is>
      </c>
    </row>
    <row r="5" ht="20" customHeight="1">
      <c r="A5" s="11" t="inlineStr">
        <is>
          <t>Window (the scoring month included), 61–180 DPD / 180+ DPD</t>
        </is>
      </c>
      <c r="B5" s="16" t="inlineStr">
        <is>
          <t>3 / 6 months</t>
        </is>
      </c>
    </row>
    <row r="6" ht="20" customHeight="1">
      <c r="A6" s="11" t="inlineStr">
        <is>
          <t>Months of the window at the CASA floor</t>
        </is>
      </c>
      <c r="B6" s="16" t="inlineStr">
        <is>
          <t>2 of 3</t>
        </is>
      </c>
    </row>
    <row r="7" ht="20" customHeight="1">
      <c r="A7" s="11" t="inlineStr">
        <is>
          <t>Salary floor, internal and AECB</t>
        </is>
      </c>
      <c r="B7" s="16" t="inlineStr">
        <is>
          <t>AED 3,000</t>
        </is>
      </c>
    </row>
    <row r="8" ht="20" customHeight="1">
      <c r="A8" s="11" t="inlineStr">
        <is>
          <t>Income: multiple of the amount due</t>
        </is>
      </c>
      <c r="B8" s="16" t="inlineStr">
        <is>
          <t>2.0</t>
        </is>
      </c>
    </row>
    <row r="9" ht="20" customHeight="1">
      <c r="A9" s="11" t="inlineStr">
        <is>
          <t>Stable: window total, multiples of the income threshold (3 at 180+)</t>
        </is>
      </c>
      <c r="B9" s="16" t="inlineStr">
        <is>
          <t>2</t>
        </is>
      </c>
    </row>
    <row r="10" ht="20" customHeight="1">
      <c r="A10" s="11" t="inlineStr">
        <is>
          <t>Income weakening: fall of the window total vs the prior window</t>
        </is>
      </c>
      <c r="B10" s="16" t="inlineStr">
        <is>
          <t>25%</t>
        </is>
      </c>
    </row>
    <row r="11" ht="20" customHeight="1">
      <c r="A11" s="11" t="inlineStr">
        <is>
          <t>AECB salary: months counted after the extract month</t>
        </is>
      </c>
      <c r="B11" s="16" t="inlineStr">
        <is>
          <t>1</t>
        </is>
      </c>
    </row>
    <row r="12" ht="20" customHeight="1">
      <c r="A12" s="11" t="inlineStr">
        <is>
          <t>CASA average balance floor</t>
        </is>
      </c>
      <c r="B12" s="16" t="inlineStr">
        <is>
          <t>AED 3,000</t>
        </is>
      </c>
    </row>
    <row r="13" ht="20" customHeight="1">
      <c r="A13" s="11" t="inlineStr">
        <is>
          <t>CASA: multiple of the amount due</t>
        </is>
      </c>
      <c r="B13" s="16" t="inlineStr">
        <is>
          <t>1.0</t>
        </is>
      </c>
    </row>
    <row r="14" ht="20" customHeight="1">
      <c r="A14" s="11" t="inlineStr">
        <is>
          <t>CASA weakening: fall of the average vs the prior window</t>
        </is>
      </c>
      <c r="B14" s="16" t="inlineStr">
        <is>
          <t>50%</t>
        </is>
      </c>
    </row>
    <row r="15" ht="20" customHeight="1">
      <c r="A15" s="11" t="inlineStr">
        <is>
          <t>External card payment floor</t>
        </is>
      </c>
      <c r="B15" s="16" t="inlineStr">
        <is>
          <t>AED 500</t>
        </is>
      </c>
    </row>
    <row r="16" ht="20" customHeight="1">
      <c r="A16" s="11" t="inlineStr">
        <is>
          <t>External card payment: multiple of the amount due</t>
        </is>
      </c>
      <c r="B16" s="16" t="inlineStr">
        <is>
          <t>1.0</t>
        </is>
      </c>
    </row>
    <row r="17" ht="20" customHeight="1">
      <c r="A17" s="11" t="inlineStr">
        <is>
          <t>Smallest amount that counts as evidence</t>
        </is>
      </c>
      <c r="B17" s="16" t="inlineStr">
        <is>
          <t>AED 1,000</t>
        </is>
      </c>
    </row>
    <row r="18" ht="20" customHeight="1">
      <c r="A18" s="11" t="inlineStr">
        <is>
          <t>Distress events in the window that count</t>
        </is>
      </c>
      <c r="B18" s="16" t="inlineStr">
        <is>
          <t>1</t>
        </is>
      </c>
    </row>
    <row r="19" ht="20" customHeight="1">
      <c r="A19" s="11" t="inlineStr">
        <is>
          <t>Points needed for High / Moderate</t>
        </is>
      </c>
      <c r="B19" s="16" t="inlineStr">
        <is>
          <t>4 / 2</t>
        </is>
      </c>
    </row>
    <row r="20" ht="20" customHeight="1">
      <c r="A20" s="11" t="inlineStr">
        <is>
          <t>CASA held: months of history for a leg or positive balance</t>
        </is>
      </c>
      <c r="B20" s="16" t="inlineStr">
        <is>
          <t>12</t>
        </is>
      </c>
    </row>
    <row r="22" ht="33" customHeight="1">
      <c r="A22" s="2" t="inlineStr">
        <is>
          <t>The amount due: the oldest overdue bucket on cards (none at 180+), one instalment on loans.</t>
        </is>
      </c>
    </row>
  </sheetData>
  <mergeCells count="2">
    <mergeCell ref="A2:B2"/>
    <mergeCell ref="A22:B2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C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30" customWidth="1" min="3" max="3"/>
  </cols>
  <sheetData>
    <row r="1">
      <c r="A1" s="1" t="inlineStr">
        <is>
          <t>Logic</t>
        </is>
      </c>
    </row>
    <row r="2" ht="20" customHeight="1">
      <c r="A2" s="2" t="inlineStr">
        <is>
          <t>How the inputs are read. The window is the scoring month and the 2 before it; the prior window is the 3 months before that.</t>
        </is>
      </c>
    </row>
    <row r="4" ht="20" customHeight="1">
      <c r="A4" s="5" t="inlineStr">
        <is>
          <t>Salary per month</t>
        </is>
      </c>
      <c r="B4" s="6" t="n"/>
      <c r="C4" s="6" t="n"/>
    </row>
    <row r="5" ht="20" customHeight="1">
      <c r="A5" s="7" t="inlineStr">
        <is>
          <t>Source</t>
        </is>
      </c>
      <c r="B5" s="7" t="inlineStr">
        <is>
          <t>Rule</t>
        </is>
      </c>
      <c r="C5" s="7" t="inlineStr">
        <is>
          <t>Timing</t>
        </is>
      </c>
    </row>
    <row r="6" ht="20" customHeight="1">
      <c r="A6" s="15" t="inlineStr">
        <is>
          <t>Internal salary</t>
        </is>
      </c>
      <c r="B6" s="11" t="inlineStr">
        <is>
          <t>The month's salary-flagged credits with us, bonuses included.</t>
        </is>
      </c>
      <c r="C6" s="11" t="inlineStr">
        <is>
          <t>The month of the credit.</t>
        </is>
      </c>
    </row>
    <row r="7" ht="33" customHeight="1">
      <c r="A7" s="15" t="inlineStr">
        <is>
          <t>AECB salary</t>
        </is>
      </c>
      <c r="B7" s="11" t="inlineStr">
        <is>
          <t>The reported average salary on a salary alert (average salary changed, salary account added), accurate on the pull date.</t>
        </is>
      </c>
      <c r="C7" s="11" t="inlineStr">
        <is>
          <t>The pull's month and the next one, never earlier and no later.</t>
        </is>
      </c>
    </row>
    <row r="8" ht="20" customHeight="1">
      <c r="A8" s="15" t="inlineStr">
        <is>
          <t>Salary account closed</t>
        </is>
      </c>
      <c r="B8" s="11" t="inlineStr">
        <is>
          <t>An AECB closure alert ends the AECB salary.</t>
        </is>
      </c>
      <c r="C8" s="11" t="inlineStr">
        <is>
          <t>From the alert.</t>
        </is>
      </c>
    </row>
    <row r="9" ht="20" customHeight="1">
      <c r="A9" s="15" t="inlineStr">
        <is>
          <t>One amount per month</t>
        </is>
      </c>
      <c r="B9" s="11" t="inlineStr">
        <is>
          <t>The larger of internal and AECB, never the sum.</t>
        </is>
      </c>
      <c r="C9" s="11" t="inlineStr">
        <is>
          <t>Each month.</t>
        </is>
      </c>
    </row>
    <row r="11" ht="20" customHeight="1">
      <c r="A11" s="5" t="inlineStr">
        <is>
          <t>Distress</t>
        </is>
      </c>
      <c r="B11" s="6" t="n"/>
      <c r="C11" s="6" t="n"/>
    </row>
    <row r="12" ht="20" customHeight="1">
      <c r="A12" s="7" t="inlineStr">
        <is>
          <t>Source</t>
        </is>
      </c>
      <c r="B12" s="7" t="inlineStr">
        <is>
          <t>Rule</t>
        </is>
      </c>
      <c r="C12" s="7" t="inlineStr">
        <is>
          <t>Timing</t>
        </is>
      </c>
    </row>
    <row r="13" ht="20" customHeight="1">
      <c r="A13" s="15" t="inlineStr">
        <is>
          <t>Cheque / DDS return</t>
        </is>
      </c>
      <c r="B13" s="11" t="inlineStr">
        <is>
          <t>A returned cheque or direct debit on any CASA of the customer.</t>
        </is>
      </c>
      <c r="C13" s="11" t="inlineStr">
        <is>
          <t>The month of the return.</t>
        </is>
      </c>
    </row>
    <row r="14" ht="20" customHeight="1">
      <c r="A14" s="15" t="inlineStr">
        <is>
          <t>Bureau bounce</t>
        </is>
      </c>
      <c r="B14" s="11" t="inlineStr">
        <is>
          <t>A new bounced amount on a pull; repeated unchanged it counts once.</t>
        </is>
      </c>
      <c r="C14" s="11" t="inlineStr">
        <is>
          <t>The pull's month.</t>
        </is>
      </c>
    </row>
    <row r="16" ht="20" customHeight="1">
      <c r="A16" s="5" t="inlineStr">
        <is>
          <t>Customer money movement (the activity gate)</t>
        </is>
      </c>
      <c r="B16" s="6" t="n"/>
      <c r="C16" s="6" t="n"/>
    </row>
    <row r="17" ht="20" customHeight="1">
      <c r="A17" s="7" t="inlineStr"/>
      <c r="B17" s="7" t="inlineStr">
        <is>
          <t>Transactions</t>
        </is>
      </c>
      <c r="C17" s="7" t="inlineStr"/>
    </row>
    <row r="18" ht="33" customHeight="1">
      <c r="A18" s="15" t="inlineStr">
        <is>
          <t>Counts</t>
        </is>
      </c>
      <c r="B18" s="11" t="inlineStr">
        <is>
          <t>Transfers in and out, remittances, cash, clearing, bill payments, card spend, paying their own credit card.</t>
        </is>
      </c>
      <c r="C18" s="11" t="inlineStr"/>
    </row>
    <row r="19" ht="33" customHeight="1">
      <c r="A19" s="15" t="inlineStr">
        <is>
          <t>Does not count</t>
        </is>
      </c>
      <c r="B19" s="11" t="inlineStr">
        <is>
          <t>The bank recovering the customer's loan instalment, transfers between their own accounts, fees, interest, reversals.</t>
        </is>
      </c>
      <c r="C19" s="11" t="inlineStr"/>
    </row>
  </sheetData>
  <mergeCells count="1">
    <mergeCell ref="A2:C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2" customWidth="1" min="8" max="8"/>
  </cols>
  <sheetData>
    <row r="1">
      <c r="A1" s="1" t="inlineStr">
        <is>
          <t>Examples (61–180 DPD, 3-month window)</t>
        </is>
      </c>
    </row>
    <row r="2" ht="33" customHeight="1">
      <c r="A2" s="2" t="inlineStr">
        <is>
          <t>One customer per row, oldest month on the left; the blue columns are the window. Threshold AED 3,000 unless the row says otherwise, so Stable needs a total of 6,000.</t>
        </is>
      </c>
    </row>
    <row r="4" ht="20" customHeight="1">
      <c r="A4" s="5" t="inlineStr">
        <is>
          <t>Income</t>
        </is>
      </c>
      <c r="B4" s="6" t="n"/>
      <c r="C4" s="6" t="n"/>
      <c r="D4" s="6" t="n"/>
      <c r="E4" s="6" t="n"/>
      <c r="F4" s="6" t="n"/>
      <c r="G4" s="6" t="n"/>
      <c r="H4" s="6" t="n"/>
    </row>
    <row r="5" ht="28" customHeight="1">
      <c r="A5" s="21" t="inlineStr">
        <is>
          <t>Cells</t>
        </is>
      </c>
      <c r="B5" s="22" t="inlineStr">
        <is>
          <t>5,000  internal salary</t>
        </is>
      </c>
      <c r="C5" s="9" t="n"/>
      <c r="D5" s="23" t="inlineStr">
        <is>
          <t>A 3,000  AECB pull</t>
        </is>
      </c>
      <c r="E5" s="9" t="n"/>
      <c r="F5" s="24" t="inlineStr">
        <is>
          <t>→ carried</t>
        </is>
      </c>
      <c r="G5" s="25" t="inlineStr">
        <is>
          <t>× closed</t>
        </is>
      </c>
    </row>
    <row r="6" ht="20" customHeight="1">
      <c r="A6" s="7" t="inlineStr">
        <is>
          <t>Income</t>
        </is>
      </c>
      <c r="B6" s="7" t="inlineStr">
        <is>
          <t>-5</t>
        </is>
      </c>
      <c r="C6" s="7" t="inlineStr">
        <is>
          <t>-4</t>
        </is>
      </c>
      <c r="D6" s="7" t="inlineStr">
        <is>
          <t>-3</t>
        </is>
      </c>
      <c r="E6" s="26" t="inlineStr">
        <is>
          <t>-2</t>
        </is>
      </c>
      <c r="F6" s="26" t="inlineStr">
        <is>
          <t>-1</t>
        </is>
      </c>
      <c r="G6" s="26" t="inlineStr">
        <is>
          <t>Now</t>
        </is>
      </c>
      <c r="H6" s="7" t="inlineStr">
        <is>
          <t>Why</t>
        </is>
      </c>
    </row>
    <row r="7" ht="20" customHeight="1">
      <c r="A7" s="10" t="inlineStr">
        <is>
          <t>Stable</t>
        </is>
      </c>
      <c r="B7" s="27" t="n"/>
      <c r="C7" s="27" t="n"/>
      <c r="D7" s="27" t="n"/>
      <c r="E7" s="28" t="n"/>
      <c r="F7" s="19" t="inlineStr">
        <is>
          <t>5,000</t>
        </is>
      </c>
      <c r="G7" s="19" t="inlineStr">
        <is>
          <t>5,000</t>
        </is>
      </c>
      <c r="H7" s="11" t="inlineStr">
        <is>
          <t>Two salaries with us, 10,000 against 6,000.</t>
        </is>
      </c>
    </row>
    <row r="8" ht="20" customHeight="1">
      <c r="A8" s="10" t="inlineStr">
        <is>
          <t>Stable</t>
        </is>
      </c>
      <c r="B8" s="27" t="n"/>
      <c r="C8" s="27" t="n"/>
      <c r="D8" s="27" t="n"/>
      <c r="E8" s="28" t="n"/>
      <c r="F8" s="19" t="inlineStr">
        <is>
          <t>10,000</t>
        </is>
      </c>
      <c r="G8" s="28" t="n"/>
      <c r="H8" s="11" t="inlineStr">
        <is>
          <t>Employer paid two salaries in one month: the total counts.</t>
        </is>
      </c>
    </row>
    <row r="9" ht="20" customHeight="1">
      <c r="A9" s="10" t="inlineStr">
        <is>
          <t>Stable</t>
        </is>
      </c>
      <c r="B9" s="27" t="n"/>
      <c r="C9" s="27" t="n"/>
      <c r="D9" s="27" t="n"/>
      <c r="E9" s="19" t="inlineStr">
        <is>
          <t>2,000</t>
        </is>
      </c>
      <c r="F9" s="19" t="inlineStr">
        <is>
          <t>2,000</t>
        </is>
      </c>
      <c r="G9" s="19" t="inlineStr">
        <is>
          <t>2,000</t>
        </is>
      </c>
      <c r="H9" s="11" t="inlineStr">
        <is>
          <t>Three salaries of 2,000 reach the 6,000 total.</t>
        </is>
      </c>
    </row>
    <row r="10" ht="20" customHeight="1">
      <c r="A10" s="10" t="inlineStr">
        <is>
          <t>Stable</t>
        </is>
      </c>
      <c r="B10" s="27" t="n"/>
      <c r="C10" s="27" t="n"/>
      <c r="D10" s="27" t="n"/>
      <c r="E10" s="29" t="inlineStr">
        <is>
          <t>A 3,000</t>
        </is>
      </c>
      <c r="F10" s="30" t="inlineStr">
        <is>
          <t>→ 3,000</t>
        </is>
      </c>
      <c r="G10" s="28" t="n"/>
      <c r="H10" s="11" t="inlineStr">
        <is>
          <t>AECB pull in the window's first month: counts for 2 months.</t>
        </is>
      </c>
    </row>
    <row r="11" ht="20" customHeight="1">
      <c r="A11" s="10" t="inlineStr">
        <is>
          <t>Stable</t>
        </is>
      </c>
      <c r="B11" s="27" t="n"/>
      <c r="C11" s="27" t="n"/>
      <c r="D11" s="27" t="n"/>
      <c r="E11" s="28" t="n"/>
      <c r="F11" s="28" t="n"/>
      <c r="G11" s="29" t="inlineStr">
        <is>
          <t>A 6,000</t>
        </is>
      </c>
      <c r="H11" s="11" t="inlineStr">
        <is>
          <t>AECB pull this month: one month, but 6,000 reaches the total.</t>
        </is>
      </c>
    </row>
    <row r="12" ht="20" customHeight="1">
      <c r="A12" s="10" t="inlineStr">
        <is>
          <t>Stable</t>
        </is>
      </c>
      <c r="B12" s="27" t="n"/>
      <c r="C12" s="27" t="n"/>
      <c r="D12" s="27" t="n"/>
      <c r="E12" s="29" t="inlineStr">
        <is>
          <t>A 3,000</t>
        </is>
      </c>
      <c r="F12" s="30" t="inlineStr">
        <is>
          <t>→ 3,000</t>
        </is>
      </c>
      <c r="G12" s="29" t="inlineStr">
        <is>
          <t>A 3,000</t>
        </is>
      </c>
      <c r="H12" s="11" t="inlineStr">
        <is>
          <t>Pulls every 2 months fill the window.</t>
        </is>
      </c>
    </row>
    <row r="13" ht="20" customHeight="1">
      <c r="A13" s="10" t="inlineStr">
        <is>
          <t>Stable</t>
        </is>
      </c>
      <c r="B13" s="27" t="n"/>
      <c r="C13" s="27" t="n"/>
      <c r="D13" s="29" t="inlineStr">
        <is>
          <t>A 6,000</t>
        </is>
      </c>
      <c r="E13" s="30" t="inlineStr">
        <is>
          <t>→ 6,000</t>
        </is>
      </c>
      <c r="F13" s="28" t="n"/>
      <c r="G13" s="28" t="n"/>
      <c r="H13" s="11" t="inlineStr">
        <is>
          <t>Pull just before the window carries into its first month.</t>
        </is>
      </c>
    </row>
    <row r="14" ht="20" customHeight="1">
      <c r="A14" s="12" t="inlineStr">
        <is>
          <t>Weak</t>
        </is>
      </c>
      <c r="B14" s="27" t="n"/>
      <c r="C14" s="27" t="n"/>
      <c r="D14" s="27" t="n"/>
      <c r="E14" s="28" t="n"/>
      <c r="F14" s="28" t="n"/>
      <c r="G14" s="29" t="inlineStr">
        <is>
          <t>A 3,000</t>
        </is>
      </c>
      <c r="H14" s="11" t="inlineStr">
        <is>
          <t>AECB pull this month at 3,000: one month, 3,000 against 6,000.</t>
        </is>
      </c>
    </row>
    <row r="15" ht="20" customHeight="1">
      <c r="A15" s="12" t="inlineStr">
        <is>
          <t>Weak</t>
        </is>
      </c>
      <c r="B15" s="27" t="n"/>
      <c r="C15" s="27" t="n"/>
      <c r="D15" s="27" t="n"/>
      <c r="E15" s="19" t="inlineStr">
        <is>
          <t>1,200</t>
        </is>
      </c>
      <c r="F15" s="28" t="n"/>
      <c r="G15" s="19" t="inlineStr">
        <is>
          <t>4,000</t>
        </is>
      </c>
      <c r="H15" s="11" t="inlineStr">
        <is>
          <t>Salary, but 5,200 against the 6,000 total.</t>
        </is>
      </c>
    </row>
    <row r="16" ht="20" customHeight="1">
      <c r="A16" s="12" t="inlineStr">
        <is>
          <t>Weak</t>
        </is>
      </c>
      <c r="B16" s="27" t="n"/>
      <c r="C16" s="27" t="n"/>
      <c r="D16" s="27" t="n"/>
      <c r="E16" s="28" t="n"/>
      <c r="F16" s="19" t="inlineStr">
        <is>
          <t>5,000</t>
        </is>
      </c>
      <c r="G16" s="19" t="inlineStr">
        <is>
          <t>5,000</t>
        </is>
      </c>
      <c r="H16" s="11" t="inlineStr">
        <is>
          <t>AED 3,000 overdue lifts the total needed to 12,000.</t>
        </is>
      </c>
    </row>
    <row r="17" ht="33" customHeight="1">
      <c r="A17" s="12" t="inlineStr">
        <is>
          <t>Weak</t>
        </is>
      </c>
      <c r="B17" s="19" t="inlineStr">
        <is>
          <t>10,000</t>
        </is>
      </c>
      <c r="C17" s="19" t="inlineStr">
        <is>
          <t>10,000</t>
        </is>
      </c>
      <c r="D17" s="19" t="inlineStr">
        <is>
          <t>10,000</t>
        </is>
      </c>
      <c r="E17" s="28" t="n"/>
      <c r="F17" s="29" t="inlineStr">
        <is>
          <t>A 10,000</t>
        </is>
      </c>
      <c r="G17" s="30" t="inlineStr">
        <is>
          <t>→ 10,000</t>
        </is>
      </c>
      <c r="H17" s="11" t="inlineStr">
        <is>
          <t>Salary with us stopped; one AECB pull gives 20,000 against 30,000: more than 25% below.</t>
        </is>
      </c>
    </row>
    <row r="18" ht="20" customHeight="1">
      <c r="A18" s="12" t="inlineStr">
        <is>
          <t>Weak</t>
        </is>
      </c>
      <c r="B18" s="27" t="n"/>
      <c r="C18" s="29" t="inlineStr">
        <is>
          <t>A 7,000</t>
        </is>
      </c>
      <c r="D18" s="30" t="inlineStr">
        <is>
          <t>→ 7,000</t>
        </is>
      </c>
      <c r="E18" s="28" t="n"/>
      <c r="F18" s="29" t="inlineStr">
        <is>
          <t>A 4,000</t>
        </is>
      </c>
      <c r="G18" s="30" t="inlineStr">
        <is>
          <t>→ 4,000</t>
        </is>
      </c>
      <c r="H18" s="11" t="inlineStr">
        <is>
          <t>AECB level fell: 8,000 against 14,000.</t>
        </is>
      </c>
    </row>
    <row r="19" ht="20" customHeight="1">
      <c r="A19" s="12" t="inlineStr">
        <is>
          <t>Weak</t>
        </is>
      </c>
      <c r="B19" s="27" t="n"/>
      <c r="C19" s="27" t="n"/>
      <c r="D19" s="27" t="n"/>
      <c r="E19" s="29" t="inlineStr">
        <is>
          <t>A 3,000</t>
        </is>
      </c>
      <c r="F19" s="20" t="inlineStr">
        <is>
          <t>×</t>
        </is>
      </c>
      <c r="G19" s="28" t="n"/>
      <c r="H19" s="11" t="inlineStr">
        <is>
          <t>Salary account closed: the AECB amount does not carry.</t>
        </is>
      </c>
    </row>
    <row r="20" ht="20" customHeight="1">
      <c r="A20" s="14" t="inlineStr">
        <is>
          <t>None</t>
        </is>
      </c>
      <c r="B20" s="27" t="n"/>
      <c r="C20" s="27" t="n"/>
      <c r="D20" s="27" t="n"/>
      <c r="E20" s="28" t="n"/>
      <c r="F20" s="28" t="n"/>
      <c r="G20" s="19" t="inlineStr">
        <is>
          <t>800</t>
        </is>
      </c>
      <c r="H20" s="11" t="inlineStr">
        <is>
          <t>Below AED 1,000.</t>
        </is>
      </c>
    </row>
    <row r="21" ht="20" customHeight="1">
      <c r="A21" s="14" t="inlineStr">
        <is>
          <t>None</t>
        </is>
      </c>
      <c r="B21" s="27" t="n"/>
      <c r="C21" s="29" t="inlineStr">
        <is>
          <t>A 9,000</t>
        </is>
      </c>
      <c r="D21" s="30" t="inlineStr">
        <is>
          <t>→ 9,000</t>
        </is>
      </c>
      <c r="E21" s="28" t="n"/>
      <c r="F21" s="28" t="n"/>
      <c r="G21" s="28" t="n"/>
      <c r="H21" s="11" t="inlineStr">
        <is>
          <t>AECB pull and its carry are both before the window.</t>
        </is>
      </c>
    </row>
    <row r="22" ht="20" customHeight="1">
      <c r="A22" s="14" t="inlineStr">
        <is>
          <t>None</t>
        </is>
      </c>
      <c r="B22" s="27" t="n"/>
      <c r="C22" s="27" t="n"/>
      <c r="D22" s="27" t="n"/>
      <c r="E22" s="28" t="n"/>
      <c r="F22" s="28" t="n"/>
      <c r="G22" s="28" t="n"/>
      <c r="H22" s="11" t="inlineStr">
        <is>
          <t>No salary from either source.</t>
        </is>
      </c>
    </row>
    <row r="24" ht="20" customHeight="1">
      <c r="A24" s="5" t="inlineStr">
        <is>
          <t>State</t>
        </is>
      </c>
      <c r="B24" s="6" t="n"/>
      <c r="C24" s="6" t="n"/>
      <c r="D24" s="6" t="n"/>
      <c r="E24" s="6" t="n"/>
      <c r="F24" s="6" t="n"/>
      <c r="G24" s="6" t="n"/>
      <c r="H24" s="6" t="n"/>
    </row>
    <row r="25" ht="30" customHeight="1">
      <c r="A25" s="7" t="inlineStr">
        <is>
          <t>State</t>
        </is>
      </c>
      <c r="B25" s="7" t="inlineStr">
        <is>
          <t>Income</t>
        </is>
      </c>
      <c r="C25" s="9" t="n"/>
      <c r="D25" s="7" t="inlineStr">
        <is>
          <t>Liquidity</t>
        </is>
      </c>
      <c r="E25" s="7" t="inlineStr">
        <is>
          <t>Distress</t>
        </is>
      </c>
      <c r="F25" s="7" t="inlineStr">
        <is>
          <t>Customer money movement</t>
        </is>
      </c>
      <c r="G25" s="9" t="n"/>
      <c r="H25" s="7" t="inlineStr">
        <is>
          <t>Why</t>
        </is>
      </c>
    </row>
    <row r="26" ht="20" customHeight="1">
      <c r="A26" s="10" t="inlineStr">
        <is>
          <t>High</t>
        </is>
      </c>
      <c r="B26" s="10" t="inlineStr">
        <is>
          <t>Stable</t>
        </is>
      </c>
      <c r="C26" s="9" t="n"/>
      <c r="D26" s="10" t="inlineStr">
        <is>
          <t>Adequate</t>
        </is>
      </c>
      <c r="E26" s="16" t="inlineStr">
        <is>
          <t>No</t>
        </is>
      </c>
      <c r="F26" s="16" t="inlineStr">
        <is>
          <t>Yes</t>
        </is>
      </c>
      <c r="G26" s="9" t="n"/>
      <c r="H26" s="11" t="inlineStr">
        <is>
          <t>Salary and balance both confirmed.</t>
        </is>
      </c>
    </row>
    <row r="27" ht="20" customHeight="1">
      <c r="A27" s="12" t="inlineStr">
        <is>
          <t>Moderate</t>
        </is>
      </c>
      <c r="B27" s="10" t="inlineStr">
        <is>
          <t>Stable</t>
        </is>
      </c>
      <c r="C27" s="9" t="n"/>
      <c r="D27" s="14" t="inlineStr">
        <is>
          <t>None</t>
        </is>
      </c>
      <c r="E27" s="16" t="inlineStr">
        <is>
          <t>No</t>
        </is>
      </c>
      <c r="F27" s="16" t="inlineStr">
        <is>
          <t>No</t>
        </is>
      </c>
      <c r="G27" s="9" t="n"/>
      <c r="H27" s="11" t="inlineStr">
        <is>
          <t>AECB salary, nothing with us.</t>
        </is>
      </c>
    </row>
    <row r="28" ht="20" customHeight="1">
      <c r="A28" s="12" t="inlineStr">
        <is>
          <t>Moderate</t>
        </is>
      </c>
      <c r="B28" s="14" t="inlineStr">
        <is>
          <t>None</t>
        </is>
      </c>
      <c r="C28" s="9" t="n"/>
      <c r="D28" s="10" t="inlineStr">
        <is>
          <t>Adequate</t>
        </is>
      </c>
      <c r="E28" s="16" t="inlineStr">
        <is>
          <t>No</t>
        </is>
      </c>
      <c r="F28" s="16" t="inlineStr">
        <is>
          <t>No</t>
        </is>
      </c>
      <c r="G28" s="9" t="n"/>
      <c r="H28" s="11" t="inlineStr">
        <is>
          <t>No salary seen, but paying an external card.</t>
        </is>
      </c>
    </row>
    <row r="29" ht="20" customHeight="1">
      <c r="A29" s="12" t="inlineStr">
        <is>
          <t>Moderate</t>
        </is>
      </c>
      <c r="B29" s="10" t="inlineStr">
        <is>
          <t>Stable</t>
        </is>
      </c>
      <c r="C29" s="9" t="n"/>
      <c r="D29" s="10" t="inlineStr">
        <is>
          <t>Adequate</t>
        </is>
      </c>
      <c r="E29" s="16" t="inlineStr">
        <is>
          <t>Yes</t>
        </is>
      </c>
      <c r="F29" s="16" t="inlineStr">
        <is>
          <t>Yes</t>
        </is>
      </c>
      <c r="G29" s="9" t="n"/>
      <c r="H29" s="11" t="inlineStr">
        <is>
          <t>Everything in place, but a payment just failed.</t>
        </is>
      </c>
    </row>
    <row r="30" ht="20" customHeight="1">
      <c r="A30" s="13" t="inlineStr">
        <is>
          <t>Low</t>
        </is>
      </c>
      <c r="B30" s="12" t="inlineStr">
        <is>
          <t>Weak</t>
        </is>
      </c>
      <c r="C30" s="9" t="n"/>
      <c r="D30" s="14" t="inlineStr">
        <is>
          <t>None</t>
        </is>
      </c>
      <c r="E30" s="16" t="inlineStr">
        <is>
          <t>No</t>
        </is>
      </c>
      <c r="F30" s="16" t="inlineStr">
        <is>
          <t>No</t>
        </is>
      </c>
      <c r="G30" s="9" t="n"/>
      <c r="H30" s="11" t="inlineStr">
        <is>
          <t>Some reported income, nothing else.</t>
        </is>
      </c>
    </row>
    <row r="31" ht="20" customHeight="1">
      <c r="A31" s="13" t="inlineStr">
        <is>
          <t>Low</t>
        </is>
      </c>
      <c r="B31" s="14" t="inlineStr">
        <is>
          <t>None</t>
        </is>
      </c>
      <c r="C31" s="9" t="n"/>
      <c r="D31" s="14" t="inlineStr">
        <is>
          <t>None</t>
        </is>
      </c>
      <c r="E31" s="16" t="inlineStr">
        <is>
          <t>No</t>
        </is>
      </c>
      <c r="F31" s="16" t="inlineStr">
        <is>
          <t>Yes</t>
        </is>
      </c>
      <c r="G31" s="9" t="n"/>
      <c r="H31" s="11" t="inlineStr">
        <is>
          <t>Uses the account, but money does not stay.</t>
        </is>
      </c>
    </row>
    <row r="32" ht="20" customHeight="1">
      <c r="A32" s="13" t="inlineStr">
        <is>
          <t>Low</t>
        </is>
      </c>
      <c r="B32" s="10" t="inlineStr">
        <is>
          <t>Stable</t>
        </is>
      </c>
      <c r="C32" s="9" t="n"/>
      <c r="D32" s="14" t="inlineStr">
        <is>
          <t>None</t>
        </is>
      </c>
      <c r="E32" s="16" t="inlineStr">
        <is>
          <t>Yes</t>
        </is>
      </c>
      <c r="F32" s="16" t="inlineStr">
        <is>
          <t>Yes</t>
        </is>
      </c>
      <c r="G32" s="9" t="n"/>
      <c r="H32" s="11" t="inlineStr">
        <is>
          <t>Stable income, but a cheque bounced.</t>
        </is>
      </c>
    </row>
    <row r="33" ht="20" customHeight="1">
      <c r="A33" s="13" t="inlineStr">
        <is>
          <t>Low</t>
        </is>
      </c>
      <c r="B33" s="14" t="inlineStr">
        <is>
          <t>None</t>
        </is>
      </c>
      <c r="C33" s="9" t="n"/>
      <c r="D33" s="14" t="inlineStr">
        <is>
          <t>None</t>
        </is>
      </c>
      <c r="E33" s="16" t="inlineStr">
        <is>
          <t>Yes</t>
        </is>
      </c>
      <c r="F33" s="16" t="inlineStr">
        <is>
          <t>No</t>
        </is>
      </c>
      <c r="G33" s="9" t="n"/>
      <c r="H33" s="11" t="inlineStr">
        <is>
          <t>A bureau bounce is all we see.</t>
        </is>
      </c>
    </row>
    <row r="34" ht="20" customHeight="1">
      <c r="A34" s="14" t="inlineStr">
        <is>
          <t>Unknown</t>
        </is>
      </c>
      <c r="B34" s="14" t="inlineStr">
        <is>
          <t>None</t>
        </is>
      </c>
      <c r="C34" s="9" t="n"/>
      <c r="D34" s="14" t="inlineStr">
        <is>
          <t>None</t>
        </is>
      </c>
      <c r="E34" s="16" t="inlineStr">
        <is>
          <t>No</t>
        </is>
      </c>
      <c r="F34" s="16" t="inlineStr">
        <is>
          <t>No</t>
        </is>
      </c>
      <c r="G34" s="9" t="n"/>
      <c r="H34" s="11" t="inlineStr">
        <is>
          <t>No CASA with us, or a dormant one: we cannot see their money.</t>
        </is>
      </c>
    </row>
    <row r="36" ht="19.5" customHeight="1">
      <c r="A36" s="2" t="inlineStr">
        <is>
          <t>At 180+ DPD the window is 6 months and Stable needs 3 × the threshold; the rules are the same.</t>
        </is>
      </c>
    </row>
  </sheetData>
  <mergeCells count="24">
    <mergeCell ref="B25:C25"/>
    <mergeCell ref="F29:G29"/>
    <mergeCell ref="F25:G25"/>
    <mergeCell ref="F34:G34"/>
    <mergeCell ref="A36:H36"/>
    <mergeCell ref="B31:C31"/>
    <mergeCell ref="B27:C27"/>
    <mergeCell ref="F30:G30"/>
    <mergeCell ref="F33:G33"/>
    <mergeCell ref="F32:G32"/>
    <mergeCell ref="F26:G26"/>
    <mergeCell ref="B29:C29"/>
    <mergeCell ref="A2:H2"/>
    <mergeCell ref="B34:C34"/>
    <mergeCell ref="B28:C28"/>
    <mergeCell ref="F31:G31"/>
    <mergeCell ref="F28:G28"/>
    <mergeCell ref="F27:G27"/>
    <mergeCell ref="B30:C30"/>
    <mergeCell ref="B33:C33"/>
    <mergeCell ref="B5:C5"/>
    <mergeCell ref="D5:E5"/>
    <mergeCell ref="B32:C32"/>
    <mergeCell ref="B26:C26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K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11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</cols>
  <sheetData>
    <row r="1">
      <c r="A1" s="1" t="inlineStr">
        <is>
          <t>Results</t>
        </is>
      </c>
    </row>
    <row r="2" ht="20" customHeight="1">
      <c r="A2" s="2" t="inlineStr">
        <is>
          <t>Accounts per state, 61–180 DPD, 31 Aug 2026.</t>
        </is>
      </c>
    </row>
    <row r="4" ht="20" customHeight="1">
      <c r="A4" s="5" t="inlineStr">
        <is>
          <t>Ability state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0" customHeight="1">
      <c r="A5" s="7" t="inlineStr">
        <is>
          <t>State</t>
        </is>
      </c>
      <c r="B5" s="7" t="inlineStr">
        <is>
          <t>Credit cards</t>
        </is>
      </c>
      <c r="C5" s="9" t="n"/>
      <c r="D5" s="7" t="inlineStr">
        <is>
          <t>Retail loans</t>
        </is>
      </c>
      <c r="E5" s="9" t="n"/>
      <c r="F5" s="7" t="inlineStr">
        <is>
          <t>Personal Loans</t>
        </is>
      </c>
      <c r="G5" s="9" t="n"/>
      <c r="H5" s="7" t="inlineStr">
        <is>
          <t>Personal Cash Loans</t>
        </is>
      </c>
      <c r="I5" s="9" t="n"/>
      <c r="J5" s="7" t="inlineStr">
        <is>
          <t>Auto</t>
        </is>
      </c>
      <c r="K5" s="9" t="n"/>
    </row>
    <row r="6">
      <c r="A6" s="10" t="inlineStr">
        <is>
          <t>High</t>
        </is>
      </c>
      <c r="B6" s="31" t="n">
        <v>47</v>
      </c>
      <c r="C6" s="32">
        <f>IF(OR(B6="",N(B$10)=0),"",B6/B$10)</f>
        <v/>
      </c>
      <c r="D6" s="31" t="n"/>
      <c r="E6" s="32">
        <f>IF(OR(D6="",N(D$10)=0),"",D6/D$10)</f>
        <v/>
      </c>
      <c r="F6" s="31" t="n"/>
      <c r="G6" s="32">
        <f>IF(OR(F6="",N(F$10)=0),"",F6/F$10)</f>
        <v/>
      </c>
      <c r="H6" s="31" t="n"/>
      <c r="I6" s="32">
        <f>IF(OR(H6="",N(H$10)=0),"",H6/H$10)</f>
        <v/>
      </c>
      <c r="J6" s="31" t="n"/>
      <c r="K6" s="32">
        <f>IF(OR(J6="",N(J$10)=0),"",J6/J$10)</f>
        <v/>
      </c>
    </row>
    <row r="7">
      <c r="A7" s="12" t="inlineStr">
        <is>
          <t>Moderate</t>
        </is>
      </c>
      <c r="B7" s="31" t="n">
        <v>2689</v>
      </c>
      <c r="C7" s="32">
        <f>IF(OR(B7="",N(B$10)=0),"",B7/B$10)</f>
        <v/>
      </c>
      <c r="D7" s="31" t="n"/>
      <c r="E7" s="32">
        <f>IF(OR(D7="",N(D$10)=0),"",D7/D$10)</f>
        <v/>
      </c>
      <c r="F7" s="31" t="n"/>
      <c r="G7" s="32">
        <f>IF(OR(F7="",N(F$10)=0),"",F7/F$10)</f>
        <v/>
      </c>
      <c r="H7" s="31" t="n"/>
      <c r="I7" s="32">
        <f>IF(OR(H7="",N(H$10)=0),"",H7/H$10)</f>
        <v/>
      </c>
      <c r="J7" s="31" t="n"/>
      <c r="K7" s="32">
        <f>IF(OR(J7="",N(J$10)=0),"",J7/J$10)</f>
        <v/>
      </c>
    </row>
    <row r="8">
      <c r="A8" s="13" t="inlineStr">
        <is>
          <t>Low</t>
        </is>
      </c>
      <c r="B8" s="31" t="n">
        <v>5737</v>
      </c>
      <c r="C8" s="32">
        <f>IF(OR(B8="",N(B$10)=0),"",B8/B$10)</f>
        <v/>
      </c>
      <c r="D8" s="31" t="n"/>
      <c r="E8" s="32">
        <f>IF(OR(D8="",N(D$10)=0),"",D8/D$10)</f>
        <v/>
      </c>
      <c r="F8" s="31" t="n"/>
      <c r="G8" s="32">
        <f>IF(OR(F8="",N(F$10)=0),"",F8/F$10)</f>
        <v/>
      </c>
      <c r="H8" s="31" t="n"/>
      <c r="I8" s="32">
        <f>IF(OR(H8="",N(H$10)=0),"",H8/H$10)</f>
        <v/>
      </c>
      <c r="J8" s="31" t="n"/>
      <c r="K8" s="32">
        <f>IF(OR(J8="",N(J$10)=0),"",J8/J$10)</f>
        <v/>
      </c>
    </row>
    <row r="9">
      <c r="A9" s="14" t="inlineStr">
        <is>
          <t>Unknown</t>
        </is>
      </c>
      <c r="B9" s="31" t="n">
        <v>10819</v>
      </c>
      <c r="C9" s="32">
        <f>IF(OR(B9="",N(B$10)=0),"",B9/B$10)</f>
        <v/>
      </c>
      <c r="D9" s="31" t="n"/>
      <c r="E9" s="32">
        <f>IF(OR(D9="",N(D$10)=0),"",D9/D$10)</f>
        <v/>
      </c>
      <c r="F9" s="31" t="n"/>
      <c r="G9" s="32">
        <f>IF(OR(F9="",N(F$10)=0),"",F9/F$10)</f>
        <v/>
      </c>
      <c r="H9" s="31" t="n"/>
      <c r="I9" s="32">
        <f>IF(OR(H9="",N(H$10)=0),"",H9/H$10)</f>
        <v/>
      </c>
      <c r="J9" s="31" t="n"/>
      <c r="K9" s="32">
        <f>IF(OR(J9="",N(J$10)=0),"",J9/J$10)</f>
        <v/>
      </c>
    </row>
    <row r="10">
      <c r="A10" s="33" t="inlineStr">
        <is>
          <t>Total</t>
        </is>
      </c>
      <c r="B10" s="34">
        <f>IF(COUNT(B6:B9)=0,"",SUM(B6:B9))</f>
        <v/>
      </c>
      <c r="C10" s="35" t="n"/>
      <c r="D10" s="34">
        <f>IF(COUNT(D6:D9)=0,"",SUM(D6:D9))</f>
        <v/>
      </c>
      <c r="E10" s="35" t="n"/>
      <c r="F10" s="34">
        <f>IF(COUNT(F6:F9)=0,"",SUM(F6:F9))</f>
        <v/>
      </c>
      <c r="G10" s="35" t="n"/>
      <c r="H10" s="34">
        <f>IF(COUNT(H6:H9)=0,"",SUM(H6:H9))</f>
        <v/>
      </c>
      <c r="I10" s="35" t="n"/>
      <c r="J10" s="34">
        <f>IF(COUNT(J6:J9)=0,"",SUM(J6:J9))</f>
        <v/>
      </c>
      <c r="K10" s="35" t="n"/>
    </row>
    <row r="12" ht="19.5" customHeight="1">
      <c r="A12" s="2" t="inlineStr">
        <is>
          <t>Which rule gave each state: 'Results detail'. Coverage of salary, CASA and bureau: 'Results summaries'.</t>
        </is>
      </c>
    </row>
  </sheetData>
  <mergeCells count="7">
    <mergeCell ref="A12:K12"/>
    <mergeCell ref="J5:K5"/>
    <mergeCell ref="B5:C5"/>
    <mergeCell ref="F5:G5"/>
    <mergeCell ref="D5:E5"/>
    <mergeCell ref="A2:K2"/>
    <mergeCell ref="H5:I5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E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8" customWidth="1" min="3" max="3"/>
    <col width="11" customWidth="1" min="4" max="4"/>
    <col width="8" customWidth="1" min="5" max="5"/>
  </cols>
  <sheetData>
    <row r="1">
      <c r="A1" s="1" t="inlineStr">
        <is>
          <t>Results detail</t>
        </is>
      </c>
    </row>
    <row r="2" ht="20" customHeight="1">
      <c r="A2" s="2" t="inlineStr">
        <is>
          <t>Which rules fire and why, 61–180 DPD, 31 Aug 2026. Shares are of all accounts.</t>
        </is>
      </c>
    </row>
    <row r="4" ht="20" customHeight="1">
      <c r="A4" s="5" t="inlineStr">
        <is>
          <t>Income: who shows the salary, and the level it reaches</t>
        </is>
      </c>
      <c r="B4" s="6" t="n"/>
      <c r="C4" s="6" t="n"/>
      <c r="D4" s="6" t="n"/>
      <c r="E4" s="6" t="n"/>
    </row>
    <row r="5" ht="30" customHeight="1">
      <c r="A5" s="7" t="inlineStr"/>
      <c r="B5" s="7" t="inlineStr">
        <is>
          <t>Credit cards</t>
        </is>
      </c>
      <c r="C5" s="7" t="inlineStr">
        <is>
          <t>share</t>
        </is>
      </c>
      <c r="D5" s="7" t="inlineStr">
        <is>
          <t>Retail loans</t>
        </is>
      </c>
      <c r="E5" s="7" t="inlineStr">
        <is>
          <t>share</t>
        </is>
      </c>
    </row>
    <row r="6">
      <c r="A6" s="33" t="inlineStr">
        <is>
          <t>Accounts</t>
        </is>
      </c>
      <c r="B6" s="31" t="n">
        <v>19292</v>
      </c>
      <c r="C6" s="35" t="n"/>
      <c r="D6" s="31" t="n"/>
      <c r="E6" s="35" t="n"/>
    </row>
    <row r="7" ht="19.5" customHeight="1">
      <c r="A7" s="10" t="inlineStr">
        <is>
          <t>Stable · internal salary only</t>
        </is>
      </c>
      <c r="B7" s="31" t="n">
        <v>190</v>
      </c>
      <c r="C7" s="32">
        <f>IF(OR(B7="",N(B$6)=0),"",B7/B$6)</f>
        <v/>
      </c>
      <c r="D7" s="31" t="n"/>
      <c r="E7" s="32">
        <f>IF(OR(D7="",N(D$6)=0),"",D7/D$6)</f>
        <v/>
      </c>
    </row>
    <row r="8" ht="19.5" customHeight="1">
      <c r="A8" s="10" t="inlineStr">
        <is>
          <t>Stable · AECB salary only</t>
        </is>
      </c>
      <c r="B8" s="31" t="n">
        <v>2656</v>
      </c>
      <c r="C8" s="32">
        <f>IF(OR(B8="",N(B$6)=0),"",B8/B$6)</f>
        <v/>
      </c>
      <c r="D8" s="31" t="n"/>
      <c r="E8" s="32">
        <f>IF(OR(D8="",N(D$6)=0),"",D8/D$6)</f>
        <v/>
      </c>
    </row>
    <row r="9" ht="19.5" customHeight="1">
      <c r="A9" s="10" t="inlineStr">
        <is>
          <t>Stable · both</t>
        </is>
      </c>
      <c r="B9" s="31" t="n">
        <v>26</v>
      </c>
      <c r="C9" s="32">
        <f>IF(OR(B9="",N(B$6)=0),"",B9/B$6)</f>
        <v/>
      </c>
      <c r="D9" s="31" t="n"/>
      <c r="E9" s="32">
        <f>IF(OR(D9="",N(D$6)=0),"",D9/D$6)</f>
        <v/>
      </c>
    </row>
    <row r="10" ht="19.5" customHeight="1">
      <c r="A10" s="12" t="inlineStr">
        <is>
          <t>Weak · internal salary only</t>
        </is>
      </c>
      <c r="B10" s="31" t="n">
        <v>212</v>
      </c>
      <c r="C10" s="32">
        <f>IF(OR(B10="",N(B$6)=0),"",B10/B$6)</f>
        <v/>
      </c>
      <c r="D10" s="31" t="n"/>
      <c r="E10" s="32">
        <f>IF(OR(D10="",N(D$6)=0),"",D10/D$6)</f>
        <v/>
      </c>
    </row>
    <row r="11" ht="19.5" customHeight="1">
      <c r="A11" s="12" t="inlineStr">
        <is>
          <t>Weak · AECB salary only</t>
        </is>
      </c>
      <c r="B11" s="31" t="n">
        <v>1807</v>
      </c>
      <c r="C11" s="32">
        <f>IF(OR(B11="",N(B$6)=0),"",B11/B$6)</f>
        <v/>
      </c>
      <c r="D11" s="31" t="n"/>
      <c r="E11" s="32">
        <f>IF(OR(D11="",N(D$6)=0),"",D11/D$6)</f>
        <v/>
      </c>
    </row>
    <row r="12" ht="19.5" customHeight="1">
      <c r="A12" s="12" t="inlineStr">
        <is>
          <t>Weak · both</t>
        </is>
      </c>
      <c r="B12" s="31" t="n">
        <v>12</v>
      </c>
      <c r="C12" s="32">
        <f>IF(OR(B12="",N(B$6)=0),"",B12/B$6)</f>
        <v/>
      </c>
      <c r="D12" s="31" t="n"/>
      <c r="E12" s="32">
        <f>IF(OR(D12="",N(D$6)=0),"",D12/D$6)</f>
        <v/>
      </c>
    </row>
    <row r="13" ht="19.5" customHeight="1">
      <c r="A13" s="14" t="inlineStr">
        <is>
          <t>None · no salary of AED 1,000 or more in the window</t>
        </is>
      </c>
      <c r="B13" s="31" t="n">
        <v>14389</v>
      </c>
      <c r="C13" s="32">
        <f>IF(OR(B13="",N(B$6)=0),"",B13/B$6)</f>
        <v/>
      </c>
      <c r="D13" s="31" t="n"/>
      <c r="E13" s="32">
        <f>IF(OR(D13="",N(D$6)=0),"",D13/D$6)</f>
        <v/>
      </c>
    </row>
    <row r="15" ht="20" customHeight="1">
      <c r="A15" s="5" t="inlineStr">
        <is>
          <t>Income with an AECB salary in the window: why it is Stable or Weak</t>
        </is>
      </c>
      <c r="B15" s="6" t="n"/>
      <c r="C15" s="6" t="n"/>
      <c r="D15" s="6" t="n"/>
      <c r="E15" s="6" t="n"/>
    </row>
    <row r="16" ht="30" customHeight="1">
      <c r="A16" s="7" t="inlineStr"/>
      <c r="B16" s="7" t="inlineStr">
        <is>
          <t>Credit cards</t>
        </is>
      </c>
      <c r="C16" s="7" t="inlineStr">
        <is>
          <t>share</t>
        </is>
      </c>
      <c r="D16" s="7" t="inlineStr">
        <is>
          <t>Retail loans</t>
        </is>
      </c>
      <c r="E16" s="7" t="inlineStr">
        <is>
          <t>share</t>
        </is>
      </c>
    </row>
    <row r="17" ht="19.5" customHeight="1">
      <c r="A17" s="10" t="inlineStr">
        <is>
          <t>Stable · 1 AECB month in the window</t>
        </is>
      </c>
      <c r="B17" s="31" t="n">
        <v>292</v>
      </c>
      <c r="C17" s="32">
        <f>IF(OR(B17="",N(B$6)=0),"",B17/B$6)</f>
        <v/>
      </c>
      <c r="D17" s="31" t="n"/>
      <c r="E17" s="32">
        <f>IF(OR(D17="",N(D$6)=0),"",D17/D$6)</f>
        <v/>
      </c>
    </row>
    <row r="18" ht="19.5" customHeight="1">
      <c r="A18" s="10" t="inlineStr">
        <is>
          <t>Stable · 2 AECB months</t>
        </is>
      </c>
      <c r="B18" s="31" t="n">
        <v>1225</v>
      </c>
      <c r="C18" s="32">
        <f>IF(OR(B18="",N(B$6)=0),"",B18/B$6)</f>
        <v/>
      </c>
      <c r="D18" s="31" t="n"/>
      <c r="E18" s="32">
        <f>IF(OR(D18="",N(D$6)=0),"",D18/D$6)</f>
        <v/>
      </c>
    </row>
    <row r="19" ht="19.5" customHeight="1">
      <c r="A19" s="10" t="inlineStr">
        <is>
          <t>Stable · 3 AECB months</t>
        </is>
      </c>
      <c r="B19" s="31" t="n">
        <v>1165</v>
      </c>
      <c r="C19" s="32">
        <f>IF(OR(B19="",N(B$6)=0),"",B19/B$6)</f>
        <v/>
      </c>
      <c r="D19" s="31" t="n"/>
      <c r="E19" s="32">
        <f>IF(OR(D19="",N(D$6)=0),"",D19/D$6)</f>
        <v/>
      </c>
    </row>
    <row r="20" ht="33" customHeight="1">
      <c r="A20" s="12" t="inlineStr">
        <is>
          <t>Weak · window total reached, but more than 25% below the prior window</t>
        </is>
      </c>
      <c r="B20" s="31" t="n">
        <v>912</v>
      </c>
      <c r="C20" s="32">
        <f>IF(OR(B20="",N(B$6)=0),"",B20/B$6)</f>
        <v/>
      </c>
      <c r="D20" s="31" t="n"/>
      <c r="E20" s="32">
        <f>IF(OR(D20="",N(D$6)=0),"",D20/D$6)</f>
        <v/>
      </c>
    </row>
    <row r="21" ht="19.5" customHeight="1">
      <c r="A21" s="12" t="inlineStr">
        <is>
          <t>Weak · window total not reached</t>
        </is>
      </c>
      <c r="B21" s="31" t="n">
        <v>907</v>
      </c>
      <c r="C21" s="32">
        <f>IF(OR(B21="",N(B$6)=0),"",B21/B$6)</f>
        <v/>
      </c>
      <c r="D21" s="31" t="n"/>
      <c r="E21" s="32">
        <f>IF(OR(D21="",N(D$6)=0),"",D21/D$6)</f>
        <v/>
      </c>
    </row>
    <row r="23" ht="20" customHeight="1">
      <c r="A23" s="5" t="inlineStr">
        <is>
          <t>Liquidity: the arm that fired</t>
        </is>
      </c>
      <c r="B23" s="6" t="n"/>
      <c r="C23" s="6" t="n"/>
      <c r="D23" s="6" t="n"/>
      <c r="E23" s="6" t="n"/>
    </row>
    <row r="24" ht="30" customHeight="1">
      <c r="A24" s="7" t="inlineStr"/>
      <c r="B24" s="7" t="inlineStr">
        <is>
          <t>Credit cards</t>
        </is>
      </c>
      <c r="C24" s="7" t="inlineStr">
        <is>
          <t>share</t>
        </is>
      </c>
      <c r="D24" s="7" t="inlineStr">
        <is>
          <t>Retail loans</t>
        </is>
      </c>
      <c r="E24" s="7" t="inlineStr">
        <is>
          <t>share</t>
        </is>
      </c>
    </row>
    <row r="25" ht="19.5" customHeight="1">
      <c r="A25" s="10" t="inlineStr">
        <is>
          <t>Adequate · CASA balance (no external card payment)</t>
        </is>
      </c>
      <c r="B25" s="31" t="n">
        <v>142</v>
      </c>
      <c r="C25" s="32">
        <f>IF(OR(B25="",N(B$6)=0),"",B25/B$6)</f>
        <v/>
      </c>
      <c r="D25" s="31" t="n"/>
      <c r="E25" s="32">
        <f>IF(OR(D25="",N(D$6)=0),"",D25/D$6)</f>
        <v/>
      </c>
    </row>
    <row r="26" ht="19.5" customHeight="1">
      <c r="A26" s="10" t="inlineStr">
        <is>
          <t>Adequate · with an external card payment (card or CASA arm)</t>
        </is>
      </c>
      <c r="B26" s="31" t="n">
        <v>54</v>
      </c>
      <c r="C26" s="32">
        <f>IF(OR(B26="",N(B$6)=0),"",B26/B$6)</f>
        <v/>
      </c>
      <c r="D26" s="31" t="n"/>
      <c r="E26" s="32">
        <f>IF(OR(D26="",N(D$6)=0),"",D26/D$6)</f>
        <v/>
      </c>
    </row>
    <row r="27" ht="19.5" customHeight="1">
      <c r="A27" s="12" t="inlineStr">
        <is>
          <t>Weak · CASA balance of AED 1,000 or more (no card payment)</t>
        </is>
      </c>
      <c r="B27" s="31" t="n">
        <v>327</v>
      </c>
      <c r="C27" s="32">
        <f>IF(OR(B27="",N(B$6)=0),"",B27/B$6)</f>
        <v/>
      </c>
      <c r="D27" s="31" t="n"/>
      <c r="E27" s="32">
        <f>IF(OR(D27="",N(D$6)=0),"",D27/D$6)</f>
        <v/>
      </c>
    </row>
    <row r="28" ht="19.5" customHeight="1">
      <c r="A28" s="12" t="inlineStr">
        <is>
          <t>Weak · with an external card payment</t>
        </is>
      </c>
      <c r="B28" s="31" t="n">
        <v>15</v>
      </c>
      <c r="C28" s="32">
        <f>IF(OR(B28="",N(B$6)=0),"",B28/B$6)</f>
        <v/>
      </c>
      <c r="D28" s="31" t="n"/>
      <c r="E28" s="32">
        <f>IF(OR(D28="",N(D$6)=0),"",D28/D$6)</f>
        <v/>
      </c>
    </row>
    <row r="29" ht="19.5" customHeight="1">
      <c r="A29" s="14" t="inlineStr">
        <is>
          <t>None · a card payment below AED 1,000</t>
        </is>
      </c>
      <c r="B29" s="31" t="n">
        <v>49</v>
      </c>
      <c r="C29" s="32">
        <f>IF(OR(B29="",N(B$6)=0),"",B29/B$6)</f>
        <v/>
      </c>
      <c r="D29" s="31" t="n"/>
      <c r="E29" s="32">
        <f>IF(OR(D29="",N(D$6)=0),"",D29/D$6)</f>
        <v/>
      </c>
    </row>
    <row r="30" ht="19.5" customHeight="1">
      <c r="A30" s="14" t="inlineStr">
        <is>
          <t>None · no CASA balance or card payment</t>
        </is>
      </c>
      <c r="B30" s="31" t="n">
        <v>18705</v>
      </c>
      <c r="C30" s="32">
        <f>IF(OR(B30="",N(B$6)=0),"",B30/B$6)</f>
        <v/>
      </c>
      <c r="D30" s="31" t="n"/>
      <c r="E30" s="32">
        <f>IF(OR(D30="",N(D$6)=0),"",D30/D$6)</f>
        <v/>
      </c>
    </row>
    <row r="32" ht="20" customHeight="1">
      <c r="A32" s="5" t="inlineStr">
        <is>
          <t>Distress in the window</t>
        </is>
      </c>
      <c r="B32" s="6" t="n"/>
      <c r="C32" s="6" t="n"/>
      <c r="D32" s="6" t="n"/>
      <c r="E32" s="6" t="n"/>
    </row>
    <row r="33" ht="30" customHeight="1">
      <c r="A33" s="7" t="inlineStr"/>
      <c r="B33" s="7" t="inlineStr">
        <is>
          <t>Credit cards</t>
        </is>
      </c>
      <c r="C33" s="7" t="inlineStr">
        <is>
          <t>share</t>
        </is>
      </c>
      <c r="D33" s="7" t="inlineStr">
        <is>
          <t>Retail loans</t>
        </is>
      </c>
      <c r="E33" s="7" t="inlineStr">
        <is>
          <t>share</t>
        </is>
      </c>
    </row>
    <row r="34" ht="19.5" customHeight="1">
      <c r="A34" s="12" t="inlineStr">
        <is>
          <t>No distress</t>
        </is>
      </c>
      <c r="B34" s="31" t="n">
        <v>17616</v>
      </c>
      <c r="C34" s="32">
        <f>IF(OR(B34="",N(B$6)=0),"",B34/B$6)</f>
        <v/>
      </c>
      <c r="D34" s="31" t="n"/>
      <c r="E34" s="32">
        <f>IF(OR(D34="",N(D$6)=0),"",D34/D$6)</f>
        <v/>
      </c>
    </row>
    <row r="35" ht="19.5" customHeight="1">
      <c r="A35" s="13" t="inlineStr">
        <is>
          <t>Bureau bounce only</t>
        </is>
      </c>
      <c r="B35" s="31" t="n">
        <v>483</v>
      </c>
      <c r="C35" s="32">
        <f>IF(OR(B35="",N(B$6)=0),"",B35/B$6)</f>
        <v/>
      </c>
      <c r="D35" s="31" t="n"/>
      <c r="E35" s="32">
        <f>IF(OR(D35="",N(D$6)=0),"",D35/D$6)</f>
        <v/>
      </c>
    </row>
    <row r="36" ht="19.5" customHeight="1">
      <c r="A36" s="13" t="inlineStr">
        <is>
          <t>Cheque return only</t>
        </is>
      </c>
      <c r="B36" s="31" t="n">
        <v>451</v>
      </c>
      <c r="C36" s="32">
        <f>IF(OR(B36="",N(B$6)=0),"",B36/B$6)</f>
        <v/>
      </c>
      <c r="D36" s="31" t="n"/>
      <c r="E36" s="32">
        <f>IF(OR(D36="",N(D$6)=0),"",D36/D$6)</f>
        <v/>
      </c>
    </row>
    <row r="37" ht="19.5" customHeight="1">
      <c r="A37" s="13" t="inlineStr">
        <is>
          <t>Direct-debit return only</t>
        </is>
      </c>
      <c r="B37" s="31" t="n">
        <v>596</v>
      </c>
      <c r="C37" s="32">
        <f>IF(OR(B37="",N(B$6)=0),"",B37/B$6)</f>
        <v/>
      </c>
      <c r="D37" s="31" t="n"/>
      <c r="E37" s="32">
        <f>IF(OR(D37="",N(D$6)=0),"",D37/D$6)</f>
        <v/>
      </c>
    </row>
    <row r="38" ht="19.5" customHeight="1">
      <c r="A38" s="13" t="inlineStr">
        <is>
          <t>Two or more kinds</t>
        </is>
      </c>
      <c r="B38" s="31" t="n">
        <v>146</v>
      </c>
      <c r="C38" s="32">
        <f>IF(OR(B38="",N(B$6)=0),"",B38/B$6)</f>
        <v/>
      </c>
      <c r="D38" s="31" t="n"/>
      <c r="E38" s="32">
        <f>IF(OR(D38="",N(D$6)=0),"",D38/D$6)</f>
        <v/>
      </c>
    </row>
    <row r="40" ht="20" customHeight="1">
      <c r="A40" s="5" t="inlineStr">
        <is>
          <t>High and Moderate: the combination that gave the state</t>
        </is>
      </c>
      <c r="B40" s="6" t="n"/>
      <c r="C40" s="6" t="n"/>
      <c r="D40" s="6" t="n"/>
      <c r="E40" s="6" t="n"/>
    </row>
    <row r="41" ht="30" customHeight="1">
      <c r="A41" s="7" t="inlineStr"/>
      <c r="B41" s="7" t="inlineStr">
        <is>
          <t>Credit cards</t>
        </is>
      </c>
      <c r="C41" s="7" t="inlineStr">
        <is>
          <t>share</t>
        </is>
      </c>
      <c r="D41" s="7" t="inlineStr">
        <is>
          <t>Retail loans</t>
        </is>
      </c>
      <c r="E41" s="7" t="inlineStr">
        <is>
          <t>share</t>
        </is>
      </c>
    </row>
    <row r="42" ht="19.5" customHeight="1">
      <c r="A42" s="10" t="inlineStr">
        <is>
          <t>High · Stable income, Adequate liquidity</t>
        </is>
      </c>
      <c r="B42" s="31" t="n">
        <v>47</v>
      </c>
      <c r="C42" s="32">
        <f>IF(OR(B42="",N(B$6)=0),"",B42/B$6)</f>
        <v/>
      </c>
      <c r="D42" s="31" t="n"/>
      <c r="E42" s="32">
        <f>IF(OR(D42="",N(D$6)=0),"",D42/D$6)</f>
        <v/>
      </c>
    </row>
    <row r="43" ht="19.5" customHeight="1">
      <c r="A43" s="12" t="inlineStr">
        <is>
          <t>Moderate · Stable income, no liquidity</t>
        </is>
      </c>
      <c r="B43" s="31" t="n">
        <v>2492</v>
      </c>
      <c r="C43" s="32">
        <f>IF(OR(B43="",N(B$6)=0),"",B43/B$6)</f>
        <v/>
      </c>
      <c r="D43" s="31" t="n"/>
      <c r="E43" s="32">
        <f>IF(OR(D43="",N(D$6)=0),"",D43/D$6)</f>
        <v/>
      </c>
    </row>
    <row r="44" ht="19.5" customHeight="1">
      <c r="A44" s="12" t="inlineStr">
        <is>
          <t>Moderate · no income, Adequate liquidity</t>
        </is>
      </c>
      <c r="B44" s="31" t="n">
        <v>89</v>
      </c>
      <c r="C44" s="32">
        <f>IF(OR(B44="",N(B$6)=0),"",B44/B$6)</f>
        <v/>
      </c>
      <c r="D44" s="31" t="n"/>
      <c r="E44" s="32">
        <f>IF(OR(D44="",N(D$6)=0),"",D44/D$6)</f>
        <v/>
      </c>
    </row>
    <row r="45" ht="19.5" customHeight="1">
      <c r="A45" s="12" t="inlineStr">
        <is>
          <t>Moderate · Stable income, Weak liquidity</t>
        </is>
      </c>
      <c r="B45" s="31" t="n">
        <v>47</v>
      </c>
      <c r="C45" s="32">
        <f>IF(OR(B45="",N(B$6)=0),"",B45/B$6)</f>
        <v/>
      </c>
      <c r="D45" s="31" t="n"/>
      <c r="E45" s="32">
        <f>IF(OR(D45="",N(D$6)=0),"",D45/D$6)</f>
        <v/>
      </c>
    </row>
    <row r="46" ht="19.5" customHeight="1">
      <c r="A46" s="12" t="inlineStr">
        <is>
          <t>Moderate · Weak income, Weak liquidity</t>
        </is>
      </c>
      <c r="B46" s="31" t="n">
        <v>28</v>
      </c>
      <c r="C46" s="32">
        <f>IF(OR(B46="",N(B$6)=0),"",B46/B$6)</f>
        <v/>
      </c>
      <c r="D46" s="31" t="n"/>
      <c r="E46" s="32">
        <f>IF(OR(D46="",N(D$6)=0),"",D46/D$6)</f>
        <v/>
      </c>
    </row>
    <row r="47" ht="19.5" customHeight="1">
      <c r="A47" s="12" t="inlineStr">
        <is>
          <t>Moderate · Weak income, Adequate liquidity</t>
        </is>
      </c>
      <c r="B47" s="31" t="n">
        <v>20</v>
      </c>
      <c r="C47" s="32">
        <f>IF(OR(B47="",N(B$6)=0),"",B47/B$6)</f>
        <v/>
      </c>
      <c r="D47" s="31" t="n"/>
      <c r="E47" s="32">
        <f>IF(OR(D47="",N(D$6)=0),"",D47/D$6)</f>
        <v/>
      </c>
    </row>
    <row r="48" ht="19.5" customHeight="1">
      <c r="A48" s="12" t="inlineStr">
        <is>
          <t>Moderate · 4 points with distress</t>
        </is>
      </c>
      <c r="B48" s="31" t="n">
        <v>13</v>
      </c>
      <c r="C48" s="32">
        <f>IF(OR(B48="",N(B$6)=0),"",B48/B$6)</f>
        <v/>
      </c>
      <c r="D48" s="31" t="n"/>
      <c r="E48" s="32">
        <f>IF(OR(D48="",N(D$6)=0),"",D48/D$6)</f>
        <v/>
      </c>
    </row>
    <row r="50" ht="20" customHeight="1">
      <c r="A50" s="5" t="inlineStr">
        <is>
          <t>Low: why</t>
        </is>
      </c>
      <c r="B50" s="6" t="n"/>
      <c r="C50" s="6" t="n"/>
      <c r="D50" s="6" t="n"/>
      <c r="E50" s="6" t="n"/>
    </row>
    <row r="51" ht="30" customHeight="1">
      <c r="A51" s="7" t="inlineStr"/>
      <c r="B51" s="7" t="inlineStr">
        <is>
          <t>Credit cards</t>
        </is>
      </c>
      <c r="C51" s="7" t="inlineStr">
        <is>
          <t>share</t>
        </is>
      </c>
      <c r="D51" s="7" t="inlineStr">
        <is>
          <t>Retail loans</t>
        </is>
      </c>
      <c r="E51" s="7" t="inlineStr">
        <is>
          <t>share</t>
        </is>
      </c>
    </row>
    <row r="52" ht="19.5" customHeight="1">
      <c r="A52" s="13" t="inlineStr">
        <is>
          <t>1 point (mostly Weak income, nothing else)</t>
        </is>
      </c>
      <c r="B52" s="31" t="n">
        <v>2211</v>
      </c>
      <c r="C52" s="32">
        <f>IF(OR(B52="",N(B$6)=0),"",B52/B$6)</f>
        <v/>
      </c>
      <c r="D52" s="31" t="n"/>
      <c r="E52" s="32">
        <f>IF(OR(D52="",N(D$6)=0),"",D52/D$6)</f>
        <v/>
      </c>
    </row>
    <row r="53" ht="19.5" customHeight="1">
      <c r="A53" s="13" t="inlineStr">
        <is>
          <t>0 points, an active CASA where money does not stay</t>
        </is>
      </c>
      <c r="B53" s="31" t="n">
        <v>2065</v>
      </c>
      <c r="C53" s="32">
        <f>IF(OR(B53="",N(B$6)=0),"",B53/B$6)</f>
        <v/>
      </c>
      <c r="D53" s="31" t="n"/>
      <c r="E53" s="32">
        <f>IF(OR(D53="",N(D$6)=0),"",D53/D$6)</f>
        <v/>
      </c>
    </row>
    <row r="54" ht="19.5" customHeight="1">
      <c r="A54" s="13" t="inlineStr">
        <is>
          <t>0 points with distress</t>
        </is>
      </c>
      <c r="B54" s="31" t="n">
        <v>1151</v>
      </c>
      <c r="C54" s="32">
        <f>IF(OR(B54="",N(B$6)=0),"",B54/B$6)</f>
        <v/>
      </c>
      <c r="D54" s="31" t="n"/>
      <c r="E54" s="32">
        <f>IF(OR(D54="",N(D$6)=0),"",D54/D$6)</f>
        <v/>
      </c>
    </row>
    <row r="55" ht="19.5" customHeight="1">
      <c r="A55" s="13" t="inlineStr">
        <is>
          <t>2–3 points with distress</t>
        </is>
      </c>
      <c r="B55" s="31" t="n">
        <v>310</v>
      </c>
      <c r="C55" s="32">
        <f>IF(OR(B55="",N(B$6)=0),"",B55/B$6)</f>
        <v/>
      </c>
      <c r="D55" s="31" t="n"/>
      <c r="E55" s="32">
        <f>IF(OR(D55="",N(D$6)=0),"",D55/D$6)</f>
        <v/>
      </c>
    </row>
    <row r="57" ht="20" customHeight="1">
      <c r="A57" s="5" t="inlineStr">
        <is>
          <t>Unknown: why</t>
        </is>
      </c>
      <c r="B57" s="6" t="n"/>
      <c r="C57" s="6" t="n"/>
      <c r="D57" s="6" t="n"/>
      <c r="E57" s="6" t="n"/>
    </row>
    <row r="58" ht="30" customHeight="1">
      <c r="A58" s="7" t="inlineStr"/>
      <c r="B58" s="7" t="inlineStr">
        <is>
          <t>Credit cards</t>
        </is>
      </c>
      <c r="C58" s="7" t="inlineStr">
        <is>
          <t>share</t>
        </is>
      </c>
      <c r="D58" s="7" t="inlineStr">
        <is>
          <t>Retail loans</t>
        </is>
      </c>
      <c r="E58" s="7" t="inlineStr">
        <is>
          <t>share</t>
        </is>
      </c>
    </row>
    <row r="59" ht="19.5" customHeight="1">
      <c r="A59" s="14" t="inlineStr">
        <is>
          <t>Dormant CASA: no customer money movement in the window</t>
        </is>
      </c>
      <c r="B59" s="31" t="n">
        <v>6744</v>
      </c>
      <c r="C59" s="32">
        <f>IF(OR(B59="",N(B$6)=0),"",B59/B$6)</f>
        <v/>
      </c>
      <c r="D59" s="31" t="n"/>
      <c r="E59" s="32">
        <f>IF(OR(D59="",N(D$6)=0),"",D59/D$6)</f>
        <v/>
      </c>
    </row>
    <row r="60" ht="19.5" customHeight="1">
      <c r="A60" s="14" t="inlineStr">
        <is>
          <t>No CASA with us (no transaction or positive balance in 12 months)</t>
        </is>
      </c>
      <c r="B60" s="31" t="n">
        <v>4075</v>
      </c>
      <c r="C60" s="32">
        <f>IF(OR(B60="",N(B$6)=0),"",B60/B$6)</f>
        <v/>
      </c>
      <c r="D60" s="31" t="n"/>
      <c r="E60" s="32">
        <f>IF(OR(D60="",N(D$6)=0),"",D60/D$6)</f>
        <v/>
      </c>
    </row>
    <row r="62" ht="33" customHeight="1">
      <c r="A62" s="2" t="inlineStr">
        <is>
          <t>The AECB Stable and Weak rows include accounts with internal salary too. A card payment can sit beside a sufficient balance, so the arms overlap in the second Adequate row.</t>
        </is>
      </c>
    </row>
  </sheetData>
  <mergeCells count="2">
    <mergeCell ref="A2:E2"/>
    <mergeCell ref="A62:E6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E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8" customWidth="1" min="3" max="3"/>
    <col width="11" customWidth="1" min="4" max="4"/>
    <col width="8" customWidth="1" min="5" max="5"/>
  </cols>
  <sheetData>
    <row r="1">
      <c r="A1" s="1" t="inlineStr">
        <is>
          <t>Results summaries</t>
        </is>
      </c>
    </row>
    <row r="2" ht="20" customHeight="1">
      <c r="A2" s="2" t="inlineStr">
        <is>
          <t>What we can see of the customer, 61–180 DPD, 31 Aug 2026. Shares are of all accounts.</t>
        </is>
      </c>
    </row>
    <row r="4" ht="20" customHeight="1">
      <c r="A4" s="5" t="inlineStr">
        <is>
          <t>CASA relationship</t>
        </is>
      </c>
      <c r="B4" s="6" t="n"/>
      <c r="C4" s="6" t="n"/>
      <c r="D4" s="6" t="n"/>
      <c r="E4" s="6" t="n"/>
    </row>
    <row r="5" ht="30" customHeight="1">
      <c r="A5" s="7" t="inlineStr"/>
      <c r="B5" s="7" t="inlineStr">
        <is>
          <t>Credit cards</t>
        </is>
      </c>
      <c r="C5" s="7" t="inlineStr">
        <is>
          <t>share</t>
        </is>
      </c>
      <c r="D5" s="7" t="inlineStr">
        <is>
          <t>Retail loans</t>
        </is>
      </c>
      <c r="E5" s="7" t="inlineStr">
        <is>
          <t>share</t>
        </is>
      </c>
    </row>
    <row r="6">
      <c r="A6" s="33" t="inlineStr">
        <is>
          <t>Accounts</t>
        </is>
      </c>
      <c r="B6" s="31" t="n">
        <v>19292</v>
      </c>
      <c r="C6" s="35" t="n"/>
      <c r="D6" s="31" t="n"/>
      <c r="E6" s="35" t="n"/>
    </row>
    <row r="7" ht="19.5" customHeight="1">
      <c r="A7" s="10" t="inlineStr">
        <is>
          <t>Active: customer moved money in the window</t>
        </is>
      </c>
      <c r="B7" s="31" t="n">
        <v>3631</v>
      </c>
      <c r="C7" s="32">
        <f>IF(OR(B7="",N(B$6)=0),"",B7/B$6)</f>
        <v/>
      </c>
      <c r="D7" s="31" t="n"/>
      <c r="E7" s="32">
        <f>IF(OR(D7="",N(D$6)=0),"",D7/D$6)</f>
        <v/>
      </c>
    </row>
    <row r="8" ht="19.5" customHeight="1">
      <c r="A8" s="14" t="inlineStr">
        <is>
          <t>Dormant: holds a CASA, no customer movement</t>
        </is>
      </c>
      <c r="B8" s="31" t="n">
        <v>9125</v>
      </c>
      <c r="C8" s="32">
        <f>IF(OR(B8="",N(B$6)=0),"",B8/B$6)</f>
        <v/>
      </c>
      <c r="D8" s="31" t="n"/>
      <c r="E8" s="32">
        <f>IF(OR(D8="",N(D$6)=0),"",D8/D$6)</f>
        <v/>
      </c>
    </row>
    <row r="9" ht="19.5" customHeight="1">
      <c r="A9" s="14" t="inlineStr">
        <is>
          <t>No CASA with us</t>
        </is>
      </c>
      <c r="B9" s="31" t="n">
        <v>6536</v>
      </c>
      <c r="C9" s="32">
        <f>IF(OR(B9="",N(B$6)=0),"",B9/B$6)</f>
        <v/>
      </c>
      <c r="D9" s="31" t="n"/>
      <c r="E9" s="32">
        <f>IF(OR(D9="",N(D$6)=0),"",D9/D$6)</f>
        <v/>
      </c>
    </row>
    <row r="11" ht="20" customHeight="1">
      <c r="A11" s="5" t="inlineStr">
        <is>
          <t>Internal salary: latest month with AED 1,000 or more</t>
        </is>
      </c>
      <c r="B11" s="6" t="n"/>
      <c r="C11" s="6" t="n"/>
      <c r="D11" s="6" t="n"/>
      <c r="E11" s="6" t="n"/>
    </row>
    <row r="12" ht="30" customHeight="1">
      <c r="A12" s="7" t="inlineStr"/>
      <c r="B12" s="7" t="inlineStr">
        <is>
          <t>Credit cards</t>
        </is>
      </c>
      <c r="C12" s="7" t="inlineStr">
        <is>
          <t>share</t>
        </is>
      </c>
      <c r="D12" s="7" t="inlineStr">
        <is>
          <t>Retail loans</t>
        </is>
      </c>
      <c r="E12" s="7" t="inlineStr">
        <is>
          <t>share</t>
        </is>
      </c>
    </row>
    <row r="13" ht="19.5" customHeight="1">
      <c r="A13" s="10" t="inlineStr">
        <is>
          <t>In the window</t>
        </is>
      </c>
      <c r="B13" s="31" t="n">
        <v>440</v>
      </c>
      <c r="C13" s="32">
        <f>IF(OR(B13="",N(B$6)=0),"",B13/B$6)</f>
        <v/>
      </c>
      <c r="D13" s="31" t="n"/>
      <c r="E13" s="32">
        <f>IF(OR(D13="",N(D$6)=0),"",D13/D$6)</f>
        <v/>
      </c>
    </row>
    <row r="14" ht="19.5" customHeight="1">
      <c r="A14" s="12" t="inlineStr">
        <is>
          <t>4–6 months ago</t>
        </is>
      </c>
      <c r="B14" s="31" t="n">
        <v>3094</v>
      </c>
      <c r="C14" s="32">
        <f>IF(OR(B14="",N(B$6)=0),"",B14/B$6)</f>
        <v/>
      </c>
      <c r="D14" s="31" t="n"/>
      <c r="E14" s="32">
        <f>IF(OR(D14="",N(D$6)=0),"",D14/D$6)</f>
        <v/>
      </c>
    </row>
    <row r="15" ht="19.5" customHeight="1">
      <c r="A15" s="12" t="inlineStr">
        <is>
          <t>7–12 months ago</t>
        </is>
      </c>
      <c r="B15" s="31" t="n">
        <v>3599</v>
      </c>
      <c r="C15" s="32">
        <f>IF(OR(B15="",N(B$6)=0),"",B15/B$6)</f>
        <v/>
      </c>
      <c r="D15" s="31" t="n"/>
      <c r="E15" s="32">
        <f>IF(OR(D15="",N(D$6)=0),"",D15/D$6)</f>
        <v/>
      </c>
    </row>
    <row r="16" ht="19.5" customHeight="1">
      <c r="A16" s="12" t="inlineStr">
        <is>
          <t>13–24 months ago</t>
        </is>
      </c>
      <c r="B16" s="31" t="n">
        <v>1941</v>
      </c>
      <c r="C16" s="32">
        <f>IF(OR(B16="",N(B$6)=0),"",B16/B$6)</f>
        <v/>
      </c>
      <c r="D16" s="31" t="n"/>
      <c r="E16" s="32">
        <f>IF(OR(D16="",N(D$6)=0),"",D16/D$6)</f>
        <v/>
      </c>
    </row>
    <row r="17" ht="19.5" customHeight="1">
      <c r="A17" s="14" t="inlineStr">
        <is>
          <t>No salary in 24 months (the history available)</t>
        </is>
      </c>
      <c r="B17" s="31" t="n">
        <v>10218</v>
      </c>
      <c r="C17" s="32">
        <f>IF(OR(B17="",N(B$6)=0),"",B17/B$6)</f>
        <v/>
      </c>
      <c r="D17" s="31" t="n"/>
      <c r="E17" s="32">
        <f>IF(OR(D17="",N(D$6)=0),"",D17/D$6)</f>
        <v/>
      </c>
    </row>
    <row r="19" ht="20" customHeight="1">
      <c r="A19" s="5" t="inlineStr">
        <is>
          <t>Latest AECB salary alert of AED 1,000 or more</t>
        </is>
      </c>
      <c r="B19" s="6" t="n"/>
      <c r="C19" s="6" t="n"/>
      <c r="D19" s="6" t="n"/>
      <c r="E19" s="6" t="n"/>
    </row>
    <row r="20" ht="30" customHeight="1">
      <c r="A20" s="7" t="inlineStr"/>
      <c r="B20" s="7" t="inlineStr">
        <is>
          <t>Credit cards</t>
        </is>
      </c>
      <c r="C20" s="7" t="inlineStr">
        <is>
          <t>share</t>
        </is>
      </c>
      <c r="D20" s="7" t="inlineStr">
        <is>
          <t>Retail loans</t>
        </is>
      </c>
      <c r="E20" s="7" t="inlineStr">
        <is>
          <t>share</t>
        </is>
      </c>
    </row>
    <row r="21" ht="19.5" customHeight="1">
      <c r="A21" s="10" t="inlineStr">
        <is>
          <t>In the window</t>
        </is>
      </c>
      <c r="B21" s="31" t="n">
        <v>3729</v>
      </c>
      <c r="C21" s="32">
        <f>IF(OR(B21="",N(B$6)=0),"",B21/B$6)</f>
        <v/>
      </c>
      <c r="D21" s="31" t="n"/>
      <c r="E21" s="32">
        <f>IF(OR(D21="",N(D$6)=0),"",D21/D$6)</f>
        <v/>
      </c>
    </row>
    <row r="22" ht="19.5" customHeight="1">
      <c r="A22" s="12" t="inlineStr">
        <is>
          <t>4–6 months ago</t>
        </is>
      </c>
      <c r="B22" s="31" t="n">
        <v>2362</v>
      </c>
      <c r="C22" s="32">
        <f>IF(OR(B22="",N(B$6)=0),"",B22/B$6)</f>
        <v/>
      </c>
      <c r="D22" s="31" t="n"/>
      <c r="E22" s="32">
        <f>IF(OR(D22="",N(D$6)=0),"",D22/D$6)</f>
        <v/>
      </c>
    </row>
    <row r="23" ht="19.5" customHeight="1">
      <c r="A23" s="12" t="inlineStr">
        <is>
          <t>7–12 months ago</t>
        </is>
      </c>
      <c r="B23" s="31" t="n">
        <v>2097</v>
      </c>
      <c r="C23" s="32">
        <f>IF(OR(B23="",N(B$6)=0),"",B23/B$6)</f>
        <v/>
      </c>
      <c r="D23" s="31" t="n"/>
      <c r="E23" s="32">
        <f>IF(OR(D23="",N(D$6)=0),"",D23/D$6)</f>
        <v/>
      </c>
    </row>
    <row r="24" ht="19.5" customHeight="1">
      <c r="A24" s="12" t="inlineStr">
        <is>
          <t>13–24 months ago</t>
        </is>
      </c>
      <c r="B24" s="31" t="n">
        <v>1349</v>
      </c>
      <c r="C24" s="32">
        <f>IF(OR(B24="",N(B$6)=0),"",B24/B$6)</f>
        <v/>
      </c>
      <c r="D24" s="31" t="n"/>
      <c r="E24" s="32">
        <f>IF(OR(D24="",N(D$6)=0),"",D24/D$6)</f>
        <v/>
      </c>
    </row>
    <row r="25" ht="19.5" customHeight="1">
      <c r="A25" s="12" t="inlineStr">
        <is>
          <t>25 or more months ago</t>
        </is>
      </c>
      <c r="B25" s="31" t="n">
        <v>902</v>
      </c>
      <c r="C25" s="32">
        <f>IF(OR(B25="",N(B$6)=0),"",B25/B$6)</f>
        <v/>
      </c>
      <c r="D25" s="31" t="n"/>
      <c r="E25" s="32">
        <f>IF(OR(D25="",N(D$6)=0),"",D25/D$6)</f>
        <v/>
      </c>
    </row>
    <row r="26" ht="19.5" customHeight="1">
      <c r="A26" s="14" t="inlineStr">
        <is>
          <t>Alert rows, never a salary</t>
        </is>
      </c>
      <c r="B26" s="31" t="n">
        <v>7644</v>
      </c>
      <c r="C26" s="32">
        <f>IF(OR(B26="",N(B$6)=0),"",B26/B$6)</f>
        <v/>
      </c>
      <c r="D26" s="31" t="n"/>
      <c r="E26" s="32">
        <f>IF(OR(D26="",N(D$6)=0),"",D26/D$6)</f>
        <v/>
      </c>
    </row>
    <row r="27" ht="19.5" customHeight="1">
      <c r="A27" s="14" t="inlineStr">
        <is>
          <t>No alert row</t>
        </is>
      </c>
      <c r="B27" s="31" t="n">
        <v>1209</v>
      </c>
      <c r="C27" s="32">
        <f>IF(OR(B27="",N(B$6)=0),"",B27/B$6)</f>
        <v/>
      </c>
      <c r="D27" s="31" t="n"/>
      <c r="E27" s="32">
        <f>IF(OR(D27="",N(D$6)=0),"",D27/D$6)</f>
        <v/>
      </c>
    </row>
    <row r="29" ht="20" customHeight="1">
      <c r="A29" s="5" t="inlineStr">
        <is>
          <t>Salary evidence from either source</t>
        </is>
      </c>
      <c r="B29" s="6" t="n"/>
      <c r="C29" s="6" t="n"/>
      <c r="D29" s="6" t="n"/>
      <c r="E29" s="6" t="n"/>
    </row>
    <row r="30" ht="30" customHeight="1">
      <c r="A30" s="7" t="inlineStr"/>
      <c r="B30" s="7" t="inlineStr">
        <is>
          <t>Credit cards</t>
        </is>
      </c>
      <c r="C30" s="7" t="inlineStr">
        <is>
          <t>share</t>
        </is>
      </c>
      <c r="D30" s="7" t="inlineStr">
        <is>
          <t>Retail loans</t>
        </is>
      </c>
      <c r="E30" s="7" t="inlineStr">
        <is>
          <t>share</t>
        </is>
      </c>
    </row>
    <row r="31" ht="19.5" customHeight="1">
      <c r="A31" s="10" t="inlineStr">
        <is>
          <t>In the window</t>
        </is>
      </c>
      <c r="B31" s="31" t="n">
        <v>4135</v>
      </c>
      <c r="C31" s="32">
        <f>IF(OR(B31="",N(B$6)=0),"",B31/B$6)</f>
        <v/>
      </c>
      <c r="D31" s="31" t="n"/>
      <c r="E31" s="32">
        <f>IF(OR(D31="",N(D$6)=0),"",D31/D$6)</f>
        <v/>
      </c>
    </row>
    <row r="32" ht="19.5" customHeight="1">
      <c r="A32" s="12" t="inlineStr">
        <is>
          <t>Only older</t>
        </is>
      </c>
      <c r="B32" s="31" t="n">
        <v>12332</v>
      </c>
      <c r="C32" s="32">
        <f>IF(OR(B32="",N(B$6)=0),"",B32/B$6)</f>
        <v/>
      </c>
      <c r="D32" s="31" t="n"/>
      <c r="E32" s="32">
        <f>IF(OR(D32="",N(D$6)=0),"",D32/D$6)</f>
        <v/>
      </c>
    </row>
    <row r="33" ht="19.5" customHeight="1">
      <c r="A33" s="14" t="inlineStr">
        <is>
          <t>None: no internal salary in 24 months, no AECB salary alert</t>
        </is>
      </c>
      <c r="B33" s="31" t="n">
        <v>2825</v>
      </c>
      <c r="C33" s="32">
        <f>IF(OR(B33="",N(B$6)=0),"",B33/B$6)</f>
        <v/>
      </c>
      <c r="D33" s="31" t="n"/>
      <c r="E33" s="32">
        <f>IF(OR(D33="",N(D$6)=0),"",D33/D$6)</f>
        <v/>
      </c>
    </row>
    <row r="35" ht="20" customHeight="1">
      <c r="A35" s="5" t="inlineStr">
        <is>
          <t>Salary stopped: internal salary in the prior window, none in the window</t>
        </is>
      </c>
      <c r="B35" s="6" t="n"/>
      <c r="C35" s="6" t="n"/>
      <c r="D35" s="6" t="n"/>
      <c r="E35" s="6" t="n"/>
    </row>
    <row r="36" ht="30" customHeight="1">
      <c r="A36" s="7" t="inlineStr"/>
      <c r="B36" s="7" t="inlineStr">
        <is>
          <t>Credit cards</t>
        </is>
      </c>
      <c r="C36" s="7" t="inlineStr">
        <is>
          <t>share</t>
        </is>
      </c>
      <c r="D36" s="7" t="inlineStr">
        <is>
          <t>Retail loans</t>
        </is>
      </c>
      <c r="E36" s="7" t="inlineStr">
        <is>
          <t>share</t>
        </is>
      </c>
    </row>
    <row r="37" ht="19.5" customHeight="1">
      <c r="A37" s="13" t="inlineStr">
        <is>
          <t>Stopped · no income in the window</t>
        </is>
      </c>
      <c r="B37" s="31" t="n">
        <v>2679</v>
      </c>
      <c r="C37" s="32">
        <f>IF(OR(B37="",N(B$6)=0),"",B37/B$6)</f>
        <v/>
      </c>
      <c r="D37" s="31" t="n"/>
      <c r="E37" s="32">
        <f>IF(OR(D37="",N(D$6)=0),"",D37/D$6)</f>
        <v/>
      </c>
    </row>
    <row r="38" ht="19.5" customHeight="1">
      <c r="A38" s="12" t="inlineStr">
        <is>
          <t>Stopped · Weak on AECB salary</t>
        </is>
      </c>
      <c r="B38" s="31" t="n">
        <v>208</v>
      </c>
      <c r="C38" s="32">
        <f>IF(OR(B38="",N(B$6)=0),"",B38/B$6)</f>
        <v/>
      </c>
      <c r="D38" s="31" t="n"/>
      <c r="E38" s="32">
        <f>IF(OR(D38="",N(D$6)=0),"",D38/D$6)</f>
        <v/>
      </c>
    </row>
    <row r="39" ht="19.5" customHeight="1">
      <c r="A39" s="10" t="inlineStr">
        <is>
          <t>Stopped · Stable on AECB salary</t>
        </is>
      </c>
      <c r="B39" s="31" t="n">
        <v>207</v>
      </c>
      <c r="C39" s="32">
        <f>IF(OR(B39="",N(B$6)=0),"",B39/B$6)</f>
        <v/>
      </c>
      <c r="D39" s="31" t="n"/>
      <c r="E39" s="32">
        <f>IF(OR(D39="",N(D$6)=0),"",D39/D$6)</f>
        <v/>
      </c>
    </row>
    <row r="40" ht="19.5" customHeight="1">
      <c r="A40" s="14" t="inlineStr">
        <is>
          <t>Not stopped</t>
        </is>
      </c>
      <c r="B40" s="31" t="n">
        <v>16198</v>
      </c>
      <c r="C40" s="32">
        <f>IF(OR(B40="",N(B$6)=0),"",B40/B$6)</f>
        <v/>
      </c>
      <c r="D40" s="31" t="n"/>
      <c r="E40" s="32">
        <f>IF(OR(D40="",N(D$6)=0),"",D40/D$6)</f>
        <v/>
      </c>
    </row>
    <row r="42" ht="20" customHeight="1">
      <c r="A42" s="5" t="inlineStr">
        <is>
          <t>Highest monthly CASA balance in the window</t>
        </is>
      </c>
      <c r="B42" s="6" t="n"/>
      <c r="C42" s="6" t="n"/>
      <c r="D42" s="6" t="n"/>
      <c r="E42" s="6" t="n"/>
    </row>
    <row r="43" ht="30" customHeight="1">
      <c r="A43" s="7" t="inlineStr"/>
      <c r="B43" s="7" t="inlineStr">
        <is>
          <t>Credit cards</t>
        </is>
      </c>
      <c r="C43" s="7" t="inlineStr">
        <is>
          <t>share</t>
        </is>
      </c>
      <c r="D43" s="7" t="inlineStr">
        <is>
          <t>Retail loans</t>
        </is>
      </c>
      <c r="E43" s="7" t="inlineStr">
        <is>
          <t>share</t>
        </is>
      </c>
    </row>
    <row r="44" ht="19.5" customHeight="1">
      <c r="A44" s="10" t="inlineStr">
        <is>
          <t>AED 3,000 or more</t>
        </is>
      </c>
      <c r="B44" s="31" t="n">
        <v>242</v>
      </c>
      <c r="C44" s="32">
        <f>IF(OR(B44="",N(B$6)=0),"",B44/B$6)</f>
        <v/>
      </c>
      <c r="D44" s="31" t="n"/>
      <c r="E44" s="32">
        <f>IF(OR(D44="",N(D$6)=0),"",D44/D$6)</f>
        <v/>
      </c>
    </row>
    <row r="45" ht="19.5" customHeight="1">
      <c r="A45" s="12" t="inlineStr">
        <is>
          <t>AED 1,000–3,000</t>
        </is>
      </c>
      <c r="B45" s="31" t="n">
        <v>254</v>
      </c>
      <c r="C45" s="32">
        <f>IF(OR(B45="",N(B$6)=0),"",B45/B$6)</f>
        <v/>
      </c>
      <c r="D45" s="31" t="n"/>
      <c r="E45" s="32">
        <f>IF(OR(D45="",N(D$6)=0),"",D45/D$6)</f>
        <v/>
      </c>
    </row>
    <row r="46" ht="19.5" customHeight="1">
      <c r="A46" s="13" t="inlineStr">
        <is>
          <t>Under AED 1,000</t>
        </is>
      </c>
      <c r="B46" s="31" t="n">
        <v>4775</v>
      </c>
      <c r="C46" s="32">
        <f>IF(OR(B46="",N(B$6)=0),"",B46/B$6)</f>
        <v/>
      </c>
      <c r="D46" s="31" t="n"/>
      <c r="E46" s="32">
        <f>IF(OR(D46="",N(D$6)=0),"",D46/D$6)</f>
        <v/>
      </c>
    </row>
    <row r="47" ht="19.5" customHeight="1">
      <c r="A47" s="14" t="inlineStr">
        <is>
          <t>No balance</t>
        </is>
      </c>
      <c r="B47" s="31" t="n">
        <v>14021</v>
      </c>
      <c r="C47" s="32">
        <f>IF(OR(B47="",N(B$6)=0),"",B47/B$6)</f>
        <v/>
      </c>
      <c r="D47" s="31" t="n"/>
      <c r="E47" s="32">
        <f>IF(OR(D47="",N(D$6)=0),"",D47/D$6)</f>
        <v/>
      </c>
    </row>
    <row r="49" ht="20" customHeight="1">
      <c r="A49" s="5" t="inlineStr">
        <is>
          <t>End-of-service result from collections, in the window (does not change the state)</t>
        </is>
      </c>
      <c r="B49" s="6" t="n"/>
      <c r="C49" s="6" t="n"/>
      <c r="D49" s="6" t="n"/>
      <c r="E49" s="6" t="n"/>
    </row>
    <row r="50" ht="30" customHeight="1">
      <c r="A50" s="7" t="inlineStr"/>
      <c r="B50" s="7" t="inlineStr">
        <is>
          <t>Credit cards</t>
        </is>
      </c>
      <c r="C50" s="7" t="inlineStr">
        <is>
          <t>share</t>
        </is>
      </c>
      <c r="D50" s="7" t="inlineStr">
        <is>
          <t>Retail loans</t>
        </is>
      </c>
      <c r="E50" s="7" t="inlineStr">
        <is>
          <t>share</t>
        </is>
      </c>
    </row>
    <row r="51" ht="19.5" customHeight="1">
      <c r="A51" s="14" t="inlineStr">
        <is>
          <t>Yes</t>
        </is>
      </c>
      <c r="B51" s="31" t="n">
        <v>25</v>
      </c>
      <c r="C51" s="32">
        <f>IF(OR(B51="",N(B$6)=0),"",B51/B$6)</f>
        <v/>
      </c>
      <c r="D51" s="31" t="n"/>
      <c r="E51" s="32">
        <f>IF(OR(D51="",N(D$6)=0),"",D51/D$6)</f>
        <v/>
      </c>
    </row>
    <row r="53" ht="20" customHeight="1">
      <c r="A53" s="5" t="inlineStr">
        <is>
          <t>Internal salary × AECB salary, credit cards</t>
        </is>
      </c>
      <c r="B53" s="6" t="n"/>
      <c r="C53" s="6" t="n"/>
      <c r="D53" s="6" t="n"/>
      <c r="E53" s="6" t="n"/>
    </row>
    <row r="54">
      <c r="A54" s="4" t="inlineStr">
        <is>
          <t>See the sheet 'Salary sources'.</t>
        </is>
      </c>
    </row>
  </sheetData>
  <mergeCells count="2">
    <mergeCell ref="A2:E2"/>
    <mergeCell ref="A54:E54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Salary sources</t>
        </is>
      </c>
    </row>
    <row r="2" ht="33" customHeight="1">
      <c r="A2" s="2" t="inlineStr">
        <is>
          <t>Accounts by the latest internal salary and the latest AECB salary alert, credit cards, 31 Aug 2026.</t>
        </is>
      </c>
    </row>
    <row r="4" ht="30" customHeight="1">
      <c r="A4" s="7" t="inlineStr"/>
      <c r="B4" s="7" t="inlineStr">
        <is>
          <t>AECB in window</t>
        </is>
      </c>
      <c r="C4" s="7" t="inlineStr">
        <is>
          <t>AECB 4–6 m</t>
        </is>
      </c>
      <c r="D4" s="7" t="inlineStr">
        <is>
          <t>AECB 7–12 m</t>
        </is>
      </c>
      <c r="E4" s="7" t="inlineStr">
        <is>
          <t>AECB 13+ m</t>
        </is>
      </c>
      <c r="F4" s="7" t="inlineStr">
        <is>
          <t>Never</t>
        </is>
      </c>
    </row>
    <row r="5">
      <c r="A5" s="15" t="inlineStr">
        <is>
          <t>Internal in window</t>
        </is>
      </c>
      <c r="B5" s="31" t="n">
        <v>34</v>
      </c>
      <c r="C5" s="31" t="n">
        <v>15</v>
      </c>
      <c r="D5" s="31" t="n">
        <v>14</v>
      </c>
      <c r="E5" s="31" t="n">
        <v>79</v>
      </c>
      <c r="F5" s="31" t="n">
        <v>298</v>
      </c>
    </row>
    <row r="6">
      <c r="A6" s="15" t="inlineStr">
        <is>
          <t>Internal 4–6 m</t>
        </is>
      </c>
      <c r="B6" s="31" t="n">
        <v>349</v>
      </c>
      <c r="C6" s="31" t="n">
        <v>121</v>
      </c>
      <c r="D6" s="31" t="n">
        <v>88</v>
      </c>
      <c r="E6" s="31" t="n">
        <v>299</v>
      </c>
      <c r="F6" s="31" t="n">
        <v>2237</v>
      </c>
    </row>
    <row r="7">
      <c r="A7" s="15" t="inlineStr">
        <is>
          <t>Internal 7–12 m</t>
        </is>
      </c>
      <c r="B7" s="31" t="n">
        <v>438</v>
      </c>
      <c r="C7" s="31" t="n">
        <v>265</v>
      </c>
      <c r="D7" s="31" t="n">
        <v>197</v>
      </c>
      <c r="E7" s="31" t="n">
        <v>310</v>
      </c>
      <c r="F7" s="31" t="n">
        <v>2389</v>
      </c>
    </row>
    <row r="8">
      <c r="A8" s="15" t="inlineStr">
        <is>
          <t>Internal 13–24 m</t>
        </is>
      </c>
      <c r="B8" s="31" t="n">
        <v>268</v>
      </c>
      <c r="C8" s="31" t="n">
        <v>167</v>
      </c>
      <c r="D8" s="31" t="n">
        <v>189</v>
      </c>
      <c r="E8" s="31" t="n">
        <v>213</v>
      </c>
      <c r="F8" s="31" t="n">
        <v>1104</v>
      </c>
    </row>
    <row r="9">
      <c r="A9" s="15" t="inlineStr">
        <is>
          <t>No internal in 24 m</t>
        </is>
      </c>
      <c r="B9" s="31" t="n">
        <v>2640</v>
      </c>
      <c r="C9" s="31" t="n">
        <v>1794</v>
      </c>
      <c r="D9" s="31" t="n">
        <v>1609</v>
      </c>
      <c r="E9" s="31" t="n">
        <v>1350</v>
      </c>
      <c r="F9" s="31" t="n">
        <v>2825</v>
      </c>
    </row>
    <row r="11" ht="33" customHeight="1">
      <c r="A11" s="2" t="inlineStr">
        <is>
          <t>'Never' = no AECB salary alert of AED 1,000 or more, with or without alert rows. Retail loans follow.</t>
        </is>
      </c>
    </row>
  </sheetData>
  <mergeCells count="2">
    <mergeCell ref="A2:F2"/>
    <mergeCell ref="A11:F1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Results trend</t>
        </is>
      </c>
    </row>
    <row r="2" ht="33" customHeight="1">
      <c r="A2" s="2" t="inlineStr">
        <is>
          <t>Share of accounts per state by month, Jan–Aug 2026 (month ends), 61–180 DPD.</t>
        </is>
      </c>
    </row>
    <row r="4" ht="20" customHeight="1">
      <c r="A4" s="5" t="inlineStr">
        <is>
          <t>Credit cards 61–180</t>
        </is>
      </c>
      <c r="B4" s="6" t="n"/>
      <c r="C4" s="6" t="n"/>
      <c r="D4" s="6" t="n"/>
      <c r="E4" s="6" t="n"/>
      <c r="F4" s="6" t="n"/>
    </row>
    <row r="5" ht="20" customHeight="1">
      <c r="A5" s="7" t="inlineStr">
        <is>
          <t>Month</t>
        </is>
      </c>
      <c r="B5" s="7" t="inlineStr">
        <is>
          <t>Accounts</t>
        </is>
      </c>
      <c r="C5" s="18" t="inlineStr">
        <is>
          <t>High</t>
        </is>
      </c>
      <c r="D5" s="19" t="inlineStr">
        <is>
          <t>Moderate</t>
        </is>
      </c>
      <c r="E5" s="20" t="inlineStr">
        <is>
          <t>Low</t>
        </is>
      </c>
      <c r="F5" s="36" t="inlineStr">
        <is>
          <t>Unknown</t>
        </is>
      </c>
    </row>
    <row r="6">
      <c r="A6" s="33" t="inlineStr">
        <is>
          <t>Jan 2026</t>
        </is>
      </c>
      <c r="B6" s="31" t="n">
        <v>14664</v>
      </c>
      <c r="C6" s="37" t="n">
        <v>0.0043</v>
      </c>
      <c r="D6" s="37" t="n">
        <v>0.1919</v>
      </c>
      <c r="E6" s="37" t="n">
        <v>0.2848</v>
      </c>
      <c r="F6" s="37" t="n">
        <v>0.519</v>
      </c>
    </row>
    <row r="7">
      <c r="A7" s="33" t="inlineStr">
        <is>
          <t>Feb 2026</t>
        </is>
      </c>
      <c r="B7" s="31" t="n">
        <v>14576</v>
      </c>
      <c r="C7" s="37" t="n">
        <v>0.004099999999999999</v>
      </c>
      <c r="D7" s="37" t="n">
        <v>0.194</v>
      </c>
      <c r="E7" s="37" t="n">
        <v>0.2741</v>
      </c>
      <c r="F7" s="37" t="n">
        <v>0.5277000000000001</v>
      </c>
    </row>
    <row r="8">
      <c r="A8" s="33" t="inlineStr">
        <is>
          <t>Mar 2026</t>
        </is>
      </c>
      <c r="B8" s="31" t="n">
        <v>14455</v>
      </c>
      <c r="C8" s="37" t="n">
        <v>0.0033</v>
      </c>
      <c r="D8" s="37" t="n">
        <v>0.1827</v>
      </c>
      <c r="E8" s="37" t="n">
        <v>0.2819</v>
      </c>
      <c r="F8" s="37" t="n">
        <v>0.5321</v>
      </c>
    </row>
    <row r="9">
      <c r="A9" s="33" t="inlineStr">
        <is>
          <t>Apr 2026</t>
        </is>
      </c>
      <c r="B9" s="31" t="n">
        <v>14671</v>
      </c>
      <c r="C9" s="37" t="n">
        <v>0.0031</v>
      </c>
      <c r="D9" s="37" t="n">
        <v>0.1784</v>
      </c>
      <c r="E9" s="37" t="n">
        <v>0.2823</v>
      </c>
      <c r="F9" s="37" t="n">
        <v>0.5362</v>
      </c>
    </row>
    <row r="10">
      <c r="A10" s="33" t="inlineStr">
        <is>
          <t>May 2026</t>
        </is>
      </c>
      <c r="B10" s="31" t="n">
        <v>15890</v>
      </c>
      <c r="C10" s="37" t="n">
        <v>0.0035</v>
      </c>
      <c r="D10" s="37" t="n">
        <v>0.1726</v>
      </c>
      <c r="E10" s="37" t="n">
        <v>0.3096</v>
      </c>
      <c r="F10" s="37" t="n">
        <v>0.5144</v>
      </c>
    </row>
    <row r="11">
      <c r="A11" s="33" t="inlineStr">
        <is>
          <t>Jun 2026</t>
        </is>
      </c>
      <c r="B11" s="31" t="n">
        <v>16982</v>
      </c>
      <c r="C11" s="37" t="n">
        <v>0.0029</v>
      </c>
      <c r="D11" s="37" t="n">
        <v>0.1693</v>
      </c>
      <c r="E11" s="37" t="n">
        <v>0.3139</v>
      </c>
      <c r="F11" s="37" t="n">
        <v>0.5139</v>
      </c>
    </row>
    <row r="12">
      <c r="A12" s="33" t="inlineStr">
        <is>
          <t>Jul 2026</t>
        </is>
      </c>
      <c r="B12" s="31" t="n">
        <v>18397</v>
      </c>
      <c r="C12" s="37" t="n">
        <v>0.0029</v>
      </c>
      <c r="D12" s="37" t="n">
        <v>0.1508</v>
      </c>
      <c r="E12" s="37" t="n">
        <v>0.3244</v>
      </c>
      <c r="F12" s="37" t="n">
        <v>0.5219</v>
      </c>
    </row>
    <row r="13">
      <c r="A13" s="33" t="inlineStr">
        <is>
          <t>Aug 2026</t>
        </is>
      </c>
      <c r="B13" s="31" t="n">
        <v>19292</v>
      </c>
      <c r="C13" s="37" t="n">
        <v>0.0024</v>
      </c>
      <c r="D13" s="37" t="n">
        <v>0.1394</v>
      </c>
      <c r="E13" s="37" t="n">
        <v>0.2974</v>
      </c>
      <c r="F13" s="37" t="n">
        <v>0.5608</v>
      </c>
    </row>
    <row r="15" ht="20" customHeight="1">
      <c r="A15" s="5" t="inlineStr">
        <is>
          <t>Retail loans 61–180</t>
        </is>
      </c>
      <c r="B15" s="6" t="n"/>
      <c r="C15" s="6" t="n"/>
      <c r="D15" s="6" t="n"/>
      <c r="E15" s="6" t="n"/>
      <c r="F15" s="6" t="n"/>
    </row>
    <row r="16" ht="20" customHeight="1">
      <c r="A16" s="7" t="inlineStr">
        <is>
          <t>Month</t>
        </is>
      </c>
      <c r="B16" s="7" t="inlineStr">
        <is>
          <t>Accounts</t>
        </is>
      </c>
      <c r="C16" s="18" t="inlineStr">
        <is>
          <t>High</t>
        </is>
      </c>
      <c r="D16" s="19" t="inlineStr">
        <is>
          <t>Moderate</t>
        </is>
      </c>
      <c r="E16" s="20" t="inlineStr">
        <is>
          <t>Low</t>
        </is>
      </c>
      <c r="F16" s="36" t="inlineStr">
        <is>
          <t>Unknown</t>
        </is>
      </c>
    </row>
    <row r="17">
      <c r="A17" s="33" t="inlineStr">
        <is>
          <t>Jan 2026</t>
        </is>
      </c>
      <c r="B17" s="31" t="n"/>
      <c r="C17" s="37" t="n"/>
      <c r="D17" s="37" t="n"/>
      <c r="E17" s="37" t="n"/>
      <c r="F17" s="37" t="n"/>
    </row>
    <row r="18">
      <c r="A18" s="33" t="inlineStr">
        <is>
          <t>Feb 2026</t>
        </is>
      </c>
      <c r="B18" s="31" t="n"/>
      <c r="C18" s="37" t="n"/>
      <c r="D18" s="37" t="n"/>
      <c r="E18" s="37" t="n"/>
      <c r="F18" s="37" t="n"/>
    </row>
    <row r="19">
      <c r="A19" s="33" t="inlineStr">
        <is>
          <t>Mar 2026</t>
        </is>
      </c>
      <c r="B19" s="31" t="n"/>
      <c r="C19" s="37" t="n"/>
      <c r="D19" s="37" t="n"/>
      <c r="E19" s="37" t="n"/>
      <c r="F19" s="37" t="n"/>
    </row>
    <row r="20">
      <c r="A20" s="33" t="inlineStr">
        <is>
          <t>Apr 2026</t>
        </is>
      </c>
      <c r="B20" s="31" t="n"/>
      <c r="C20" s="37" t="n"/>
      <c r="D20" s="37" t="n"/>
      <c r="E20" s="37" t="n"/>
      <c r="F20" s="37" t="n"/>
    </row>
    <row r="21">
      <c r="A21" s="33" t="inlineStr">
        <is>
          <t>May 2026</t>
        </is>
      </c>
      <c r="B21" s="31" t="n"/>
      <c r="C21" s="37" t="n"/>
      <c r="D21" s="37" t="n"/>
      <c r="E21" s="37" t="n"/>
      <c r="F21" s="37" t="n"/>
    </row>
    <row r="22">
      <c r="A22" s="33" t="inlineStr">
        <is>
          <t>Jun 2026</t>
        </is>
      </c>
      <c r="B22" s="31" t="n"/>
      <c r="C22" s="37" t="n"/>
      <c r="D22" s="37" t="n"/>
      <c r="E22" s="37" t="n"/>
      <c r="F22" s="37" t="n"/>
    </row>
    <row r="23">
      <c r="A23" s="33" t="inlineStr">
        <is>
          <t>Jul 2026</t>
        </is>
      </c>
      <c r="B23" s="31" t="n"/>
      <c r="C23" s="37" t="n"/>
      <c r="D23" s="37" t="n"/>
      <c r="E23" s="37" t="n"/>
      <c r="F23" s="37" t="n"/>
    </row>
    <row r="24">
      <c r="A24" s="33" t="inlineStr">
        <is>
          <t>Aug 2026</t>
        </is>
      </c>
      <c r="B24" s="31" t="n"/>
      <c r="C24" s="37" t="n"/>
      <c r="D24" s="37" t="n"/>
      <c r="E24" s="37" t="n"/>
      <c r="F24" s="37" t="n"/>
    </row>
    <row r="26" ht="33" customHeight="1">
      <c r="A26" s="2" t="inlineStr">
        <is>
          <t>The book grows from May. Moderate falls steadily, and August also has slightly short alert data ('A1 rules').</t>
        </is>
      </c>
    </row>
  </sheetData>
  <mergeCells count="2">
    <mergeCell ref="A26:F26"/>
    <mergeCell ref="A2:F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2026-10-30T13:01:15Z</dcterms:created>
  <dcterms:modified xsi:type="dcterms:W3CDTF">2026-10-30T13:01:15Z</dcterms:modified>
</cp:coreProperties>
</file>