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Evidence &amp; sources" sheetId="4" state="visible" r:id="rId6"/>
    <sheet name="Thresholds" sheetId="5" state="visible" r:id="rId7"/>
    <sheet name="Results" sheetId="6" state="visible" r:id="rId8"/>
    <sheet name="Results 180+ vintag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<sst xmlns="http://schemas.openxmlformats.org/spreadsheetml/2006/main" count="603" uniqueCount="264">
  <si>
    <t xml:space="preserve">A2 Locatability</t>
  </si>
  <si>
    <t xml:space="preserve">One of the persona axes: can we find the customer, and can we reach them? Two independent dimensions plus a deceased override; every account in scope gets one value on each.</t>
  </si>
  <si>
    <t xml:space="preserve">Scope</t>
  </si>
  <si>
    <t xml:space="preserve">Credit cards (CC) and retail loans (RL: Personal Loans, Personal Cash Loans, Auto) at 61–180 DPD and at 180+ DPD on the scoring date.</t>
  </si>
  <si>
    <t xml:space="preserve">Location</t>
  </si>
  <si>
    <t xml:space="preserve">Where the customer is, from what they do: digital-banking logins, in-person card use (shop payments, ATM withdrawals) on all the customer's cards and accounts, travel purchases, and a collector's note that the customer left the country.</t>
  </si>
  <si>
    <t xml:space="preserve">Reachability</t>
  </si>
  <si>
    <t xml:space="preserve">Whether our calls get through, from the collections contact history (DCORE).</t>
  </si>
  <si>
    <t xml:space="preserve">Principle</t>
  </si>
  <si>
    <t xml:space="preserve">On both dimensions the latest evidence wins. Location never reads a call outcome (except the collector's departure note); reachability never reads location.</t>
  </si>
  <si>
    <t xml:space="preserve">Deceased</t>
  </si>
  <si>
    <t xml:space="preserve">Overrides both dimensions: collector's deceased note (a relative's claim included), card block code D, or the customer's deceased flag.</t>
  </si>
  <si>
    <t xml:space="preserve">How</t>
  </si>
  <si>
    <t xml:space="preserve">See 'How states are assigned'; examples in 'Worked examples'; thresholds in 'Thresholds'; sources in 'Evidence &amp; sources'.</t>
  </si>
  <si>
    <t xml:space="preserve">The states of each dimension</t>
  </si>
  <si>
    <t xml:space="preserve">State</t>
  </si>
  <si>
    <t xml:space="preserve">Dimension</t>
  </si>
  <si>
    <t xml:space="preserve">In one sentence</t>
  </si>
  <si>
    <t xml:space="preserve">In Country</t>
  </si>
  <si>
    <t xml:space="preserve">The latest evidence of where the customer is points to the UAE, and it is recent.</t>
  </si>
  <si>
    <t xml:space="preserve">Skip</t>
  </si>
  <si>
    <t xml:space="preserve">The latest evidence points abroad (however old): a foreign login or spend, a recent travel purchase, or a collector's departure note.</t>
  </si>
  <si>
    <t xml:space="preserve">Unknown</t>
  </si>
  <si>
    <t xml:space="preserve">No evidence, or the latest evidence is in the UAE but too old to rely on.</t>
  </si>
  <si>
    <t xml:space="preserve">Reachable</t>
  </si>
  <si>
    <t xml:space="preserve">We spoke to the customer recently (they answered, or they called us).</t>
  </si>
  <si>
    <t xml:space="preserve">Non-Reachable</t>
  </si>
  <si>
    <t xml:space="preserve">The last 3 days we called, every call rang out or hit a dead line, and the customer has not been in touch since.</t>
  </si>
  <si>
    <t xml:space="preserve">Not enough recent call evidence either way.</t>
  </si>
  <si>
    <t xml:space="preserve">Override</t>
  </si>
  <si>
    <t xml:space="preserve">The customer is reported deceased.</t>
  </si>
  <si>
    <t xml:space="preserve">Combined: location × reachability (and the action it points to)</t>
  </si>
  <si>
    <t xml:space="preserve">Location \ Reachability</t>
  </si>
  <si>
    <t xml:space="preserve">Negotiate: settle, restructure or pressure (ability and credibility axes decide).</t>
  </si>
  <si>
    <t xml:space="preserve">In the UAE but not answering or a dead number: skip-trace the number, field visit.</t>
  </si>
  <si>
    <t xml:space="preserve">Keep calling; not enough call evidence yet.</t>
  </si>
  <si>
    <t xml:space="preserve">Abroad but answering: remote settlement, international payment route.</t>
  </si>
  <si>
    <t xml:space="preserve">Left and unreachable: international recovery agency, legal.</t>
  </si>
  <si>
    <t xml:space="preserve">Signs of leaving, no call evidence: verify the departure.</t>
  </si>
  <si>
    <t xml:space="preserve">Answering, location not evidenced: negotiate and ask.</t>
  </si>
  <si>
    <t xml:space="preserve">Not answering, no location evidence: skip-trace both.</t>
  </si>
  <si>
    <t xml:space="preserve">Data gap: treat on the other persona axes.</t>
  </si>
  <si>
    <t xml:space="preserve">Estate / insurance process (both dimensions are still computed and reported).</t>
  </si>
  <si>
    <t xml:space="preserve">3 × 3 combinations + Deceased = 10 values of the combined state. Shares: see 'Results' and 'Results 180+ vintage'.</t>
  </si>
  <si>
    <t xml:space="preserve">How states are assigned</t>
  </si>
  <si>
    <t xml:space="preserve">Each dimension is decided on its own; inside a dimension the questions are asked top to bottom and the first 'yes' decides.</t>
  </si>
  <si>
    <t xml:space="preserve">Deceased (checked for every account)</t>
  </si>
  <si>
    <t xml:space="preserve">Step 1</t>
  </si>
  <si>
    <t xml:space="preserve">Reported deceased by any source?</t>
  </si>
  <si>
    <t xml:space="preserve">▶</t>
  </si>
  <si>
    <t xml:space="preserve">Deceased  (combined state)</t>
  </si>
  <si>
    <t xml:space="preserve">Is the latest evidence foreign?</t>
  </si>
  <si>
    <t xml:space="preserve">yes  ▶</t>
  </si>
  <si>
    <t xml:space="preserve">no  ▼</t>
  </si>
  <si>
    <t xml:space="preserve">Step 2</t>
  </si>
  <si>
    <t xml:space="preserve">Is the latest evidence in the UAE and within the window?</t>
  </si>
  <si>
    <t xml:space="preserve">Step 3</t>
  </si>
  <si>
    <t xml:space="preserve">Otherwise (no evidence, or UAE evidence older than the window)</t>
  </si>
  <si>
    <t xml:space="preserve">Gone dark: the last 3 call days all failed, recently, with no contact since?</t>
  </si>
  <si>
    <t xml:space="preserve">A confirmed contact within the window?</t>
  </si>
  <si>
    <t xml:space="preserve">Otherwise</t>
  </si>
  <si>
    <t xml:space="preserve">The exact tests</t>
  </si>
  <si>
    <t xml:space="preserve">Exact test</t>
  </si>
  <si>
    <t xml:space="preserve">Any of, at any age up to the scoring date: a collector's deceased result (DECEASED, DECEASED CLAIMED, DECEASED OR EXPIRED, …); card block code D on the latest contract snapshot (cards only); the deceased flag on the customer's latest demographics record.</t>
  </si>
  <si>
    <t xml:space="preserve">The latest foreign evidence is later than the latest UAE evidence, or there is no UAE evidence. Foreign evidence = a login from abroad, a shop payment or ATM withdrawal abroad, a collector's departure note (any age), or a travel purchase in the last 12 months.</t>
  </si>
  <si>
    <t xml:space="preserve">The latest evidence is a UAE login or a shop payment or ATM withdrawal in the UAE (not a travel purchase), dated within the window. Same day as foreign evidence: the UAE evidence wins.</t>
  </si>
  <si>
    <t xml:space="preserve">No evidence at all, or the latest evidence is in the UAE but older than the window.</t>
  </si>
  <si>
    <t xml:space="preserve">The last 3 call days (days with at least one outbound call) were all failed days — every call rang out or hit a dead line, none answered — the oldest of them is within the window, and the customer was not reached and did not call in after it.</t>
  </si>
  <si>
    <t xml:space="preserve">A confirmed contact within the window: the customer called in, a call was answered (successful outcome), or a right-party result was recorded. No minimum number of calls.</t>
  </si>
  <si>
    <t xml:space="preserve">No contact history, or calls exist but neither rule above applies (e.g. only 1–2 failed days, or all evidence older than the window).</t>
  </si>
  <si>
    <t xml:space="preserve">Terms</t>
  </si>
  <si>
    <t xml:space="preserve">Window</t>
  </si>
  <si>
    <t xml:space="preserve">The scoring month and the months before it: 3 months at 61–180 DPD, 6 months at 180+ DPD (activity is thinner in the late buckets).</t>
  </si>
  <si>
    <t xml:space="preserve">Customer level</t>
  </si>
  <si>
    <t xml:space="preserve">Location evidence is read across all the customer's cards and CASA accounts, not only the account being scored.</t>
  </si>
  <si>
    <t xml:space="preserve">Latest evidence wins</t>
  </si>
  <si>
    <t xml:space="preserve">A trip followed by UAE activity means the customer came back; a run of failed calls after an answered one means they went dark.</t>
  </si>
  <si>
    <t xml:space="preserve">Contact history</t>
  </si>
  <si>
    <t xml:space="preserve">Starts when the account enters collections, so the whole history up to the scoring date is used.</t>
  </si>
  <si>
    <t xml:space="preserve">Failed call day</t>
  </si>
  <si>
    <t xml:space="preserve">A day with at least one outbound call where every call rang out (no answer) or hit a dead line (wrong / invalid number, switched off).</t>
  </si>
  <si>
    <t xml:space="preserve">Unknown reasons</t>
  </si>
  <si>
    <t xml:space="preserve">Location: no evidence / UAE evidence older than the window. Reachability: no contact history / no contact in the window.</t>
  </si>
  <si>
    <t xml:space="preserve">Worked examples (61–180 DPD, 3-month window)</t>
  </si>
  <si>
    <t xml:space="preserve">One customer per row: what we observed each month, oldest on the left, the scoring month on the right. The shaded months are the window.</t>
  </si>
  <si>
    <t xml:space="preserve">Location — the latest evidence decides</t>
  </si>
  <si>
    <t xml:space="preserve">Codes</t>
  </si>
  <si>
    <t xml:space="preserve">U: UAE login / card use</t>
  </si>
  <si>
    <t xml:space="preserve">F: abroad login / card use</t>
  </si>
  <si>
    <t xml:space="preserve">T: travel purchase</t>
  </si>
  <si>
    <t xml:space="preserve">X: collector: left the country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</si>
  <si>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</si>
  <si>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</si>
  <si>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</si>
  <si>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</si>
  <si>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</si>
  <si>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</si>
  <si>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</si>
  <si>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</si>
  <si>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</si>
  <si>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</si>
  <si>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</si>
  <si>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</si>
  <si>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</si>
  <si>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F</t>
  </si>
  <si>
    <t xml:space="preserve">U</t>
  </si>
  <si>
    <t xml:space="preserve">Used the card abroad 8 months ago, in the UAE last month.</t>
  </si>
  <si>
    <t xml:space="preserve">T</t>
  </si>
  <si>
    <t xml:space="preserve">Bought a ticket, spent abroad, came back: UAE login last month.</t>
  </si>
  <si>
    <t xml:space="preserve">X</t>
  </si>
  <si>
    <t xml:space="preserve">Collector noted 'left the country'; the customer has since logged in from the UAE.</t>
  </si>
  <si>
    <t xml:space="preserve">Latest login is from abroad.</t>
  </si>
  <si>
    <t xml:space="preserve">Last seen abroad 10 months ago, nothing since: still Skip. (U at -14 not shown)</t>
  </si>
  <si>
    <t xml:space="preserve">Bought a ticket 4 months ago, no UAE activity since.</t>
  </si>
  <si>
    <t xml:space="preserve">Collector recorded a final exit visa.</t>
  </si>
  <si>
    <t xml:space="preserve">Last UAE activity is older than the 3-month window.</t>
  </si>
  <si>
    <t xml:space="preserve">Only a travel purchase older than 12 months: no evidence. (T at -15 not shown)</t>
  </si>
  <si>
    <t xml:space="preserve">No logins and no in-person card use on record.</t>
  </si>
  <si>
    <t xml:space="preserve">Reachability — one code per call day, oldest first within a month</t>
  </si>
  <si>
    <t xml:space="preserve">A: answered</t>
  </si>
  <si>
    <t xml:space="preserve">I: customer called in</t>
  </si>
  <si>
    <t xml:space="preserve">R: rang out, no answer</t>
  </si>
  <si>
    <t xml:space="preserve">D: dead line</t>
  </si>
  <si>
    <t xml:space="preserve">A</t>
  </si>
  <si>
    <t xml:space="preserve">Answered last month.</t>
  </si>
  <si>
    <t xml:space="preserve">I</t>
  </si>
  <si>
    <t xml:space="preserve">Called us 2 months ago; no outbound calls needed.</t>
  </si>
  <si>
    <t xml:space="preserve">R</t>
  </si>
  <si>
    <t xml:space="preserve">R I</t>
  </si>
  <si>
    <t xml:space="preserve">3 failed days, then the customer called in.</t>
  </si>
  <si>
    <t xml:space="preserve">D</t>
  </si>
  <si>
    <t xml:space="preserve">A R R</t>
  </si>
  <si>
    <t xml:space="preserve">Answered this month; only 2 failed days since.</t>
  </si>
  <si>
    <t xml:space="preserve">R D</t>
  </si>
  <si>
    <t xml:space="preserve">Answered once, then 3 failed days.</t>
  </si>
  <si>
    <t xml:space="preserve">Number dead on the last 3 call days.</t>
  </si>
  <si>
    <t xml:space="preserve">Last contact is older than the window; only 2 failed days.</t>
  </si>
  <si>
    <t xml:space="preserve">Failed days, but all older than the window.</t>
  </si>
  <si>
    <t xml:space="preserve">No contact history.</t>
  </si>
  <si>
    <t xml:space="preserve">At 180+ DPD the window is 6 months; the rules are otherwise the same.</t>
  </si>
  <si>
    <t xml:space="preserve">Evidence &amp; sources</t>
  </si>
  <si>
    <t xml:space="preserve">What each dimension reads, at which level, and how far back. Customer level = all the customer's accounts.</t>
  </si>
  <si>
    <t xml:space="preserve">Evidence</t>
  </si>
  <si>
    <t xml:space="preserve">Used for</t>
  </si>
  <si>
    <t xml:space="preserve">Counts as</t>
  </si>
  <si>
    <t xml:space="preserve">Level</t>
  </si>
  <si>
    <t xml:space="preserve">Age limit</t>
  </si>
  <si>
    <t xml:space="preserve">Source</t>
  </si>
  <si>
    <t xml:space="preserve">Digital-banking login</t>
  </si>
  <si>
    <t xml:space="preserve">UAE or foreign, by login country</t>
  </si>
  <si>
    <t xml:space="preserve">Customer</t>
  </si>
  <si>
    <t xml:space="preserve">UAE: window; foreign: none</t>
  </si>
  <si>
    <t xml:space="preserve">Digital-banking login history</t>
  </si>
  <si>
    <t xml:space="preserve">Credit card used in person (shop, ATM)</t>
  </si>
  <si>
    <t xml:space="preserve">UAE or foreign, by where it was used</t>
  </si>
  <si>
    <t xml:space="preserve">Customer (all cards)</t>
  </si>
  <si>
    <t xml:space="preserve">Card transactions</t>
  </si>
  <si>
    <t xml:space="preserve">Debit card used in person (shop, ATM)</t>
  </si>
  <si>
    <t xml:space="preserve">Customer (all CASA accounts)</t>
  </si>
  <si>
    <t xml:space="preserve">CASA transactions</t>
  </si>
  <si>
    <t xml:space="preserve">Online purchases, transfers and remittances</t>
  </si>
  <si>
    <t xml:space="preserve">Not used</t>
  </si>
  <si>
    <t xml:space="preserve">—</t>
  </si>
  <si>
    <t xml:space="preserve">Paying a foreign shop online or sending money home does not show where the customer is</t>
  </si>
  <si>
    <t xml:space="preserve">Travel purchase (airline, cruise, travel agency)</t>
  </si>
  <si>
    <t xml:space="preserve">Foreign</t>
  </si>
  <si>
    <t xml:space="preserve">12 months</t>
  </si>
  <si>
    <t xml:space="preserve">Card and CASA transactions (merchant category)</t>
  </si>
  <si>
    <t xml:space="preserve">Collector note: left the country / final exit visa</t>
  </si>
  <si>
    <t xml:space="preserve">Foreign, on the note's date</t>
  </si>
  <si>
    <t xml:space="preserve">Account</t>
  </si>
  <si>
    <t xml:space="preserve">None</t>
  </si>
  <si>
    <t xml:space="preserve">Collections contact history (DCORE)</t>
  </si>
  <si>
    <t xml:space="preserve">Call outcomes (answered, rang out, dead line)</t>
  </si>
  <si>
    <t xml:space="preserve">Confirmed contact or failed day</t>
  </si>
  <si>
    <t xml:space="preserve">Customer called in</t>
  </si>
  <si>
    <t xml:space="preserve">Confirmed contact</t>
  </si>
  <si>
    <t xml:space="preserve">Collector note: deceased (incl. claimed)</t>
  </si>
  <si>
    <t xml:space="preserve">Card block code D</t>
  </si>
  <si>
    <t xml:space="preserve">Card account</t>
  </si>
  <si>
    <t xml:space="preserve">Latest snapshot</t>
  </si>
  <si>
    <t xml:space="preserve">Card system (Way4)</t>
  </si>
  <si>
    <t xml:space="preserve">Customer deceased flag</t>
  </si>
  <si>
    <t xml:space="preserve">Latest record</t>
  </si>
  <si>
    <t xml:space="preserve">Customer demographics</t>
  </si>
  <si>
    <t xml:space="preserve">Thresholds</t>
  </si>
  <si>
    <t xml:space="preserve">The values the model uses.</t>
  </si>
  <si>
    <t xml:space="preserve">Applies to</t>
  </si>
  <si>
    <t xml:space="preserve">Threshold</t>
  </si>
  <si>
    <t xml:space="preserve">Value</t>
  </si>
  <si>
    <t xml:space="preserve">Months used for recent UAE evidence and recent contact, 61–180 DPD</t>
  </si>
  <si>
    <t xml:space="preserve">3 months</t>
  </si>
  <si>
    <t xml:space="preserve">The same window as the other persona axes.</t>
  </si>
  <si>
    <t xml:space="preserve">Same, 180+ DPD</t>
  </si>
  <si>
    <t xml:space="preserve">6 months</t>
  </si>
  <si>
    <t xml:space="preserve">Logins, spending and calls are thinner in the late buckets.</t>
  </si>
  <si>
    <t xml:space="preserve">Age of foreign evidence that still gives Skip</t>
  </si>
  <si>
    <t xml:space="preserve">No limit</t>
  </si>
  <si>
    <t xml:space="preserve">Accounts stay in collections for years; a customer last seen abroad has not shown they came back.</t>
  </si>
  <si>
    <t xml:space="preserve">Age of a travel purchase that counts as foreign</t>
  </si>
  <si>
    <t xml:space="preserve">A ticket bought long ago says little about where the customer is now.</t>
  </si>
  <si>
    <t xml:space="preserve">Failed call days in a row for Non-Reachable</t>
  </si>
  <si>
    <t xml:space="preserve">3</t>
  </si>
  <si>
    <t xml:space="preserve">Fewer is not yet a pattern.</t>
  </si>
  <si>
    <t xml:space="preserve">Minimum calls for Reachable</t>
  </si>
  <si>
    <t xml:space="preserve">One recent contact is enough evidence that the customer can be reached.</t>
  </si>
  <si>
    <t xml:space="preserve">Results</t>
  </si>
  <si>
    <t xml:space="preserve">Accounts per state and model variant. Yellow = to fill from the scoring run (blue figures); RL 'all' columns, totals and shares are calculated.</t>
  </si>
  <si>
    <t xml:space="preserve">Combined state</t>
  </si>
  <si>
    <t xml:space="preserve">CC 61–180
accounts</t>
  </si>
  <si>
    <t xml:space="preserve">share</t>
  </si>
  <si>
    <t xml:space="preserve">CC 180+
accounts</t>
  </si>
  <si>
    <t xml:space="preserve">RL 61–180
Personal Loans
accounts</t>
  </si>
  <si>
    <t xml:space="preserve">RL 61–180
Personal Cash Loans
accounts</t>
  </si>
  <si>
    <t xml:space="preserve">RL 61–180
Auto
accounts</t>
  </si>
  <si>
    <t xml:space="preserve">RL 61–180
all
accounts</t>
  </si>
  <si>
    <t xml:space="preserve">RL 180+
Personal Loans
accounts</t>
  </si>
  <si>
    <t xml:space="preserve">RL 180+
Personal Cash Loans
accounts</t>
  </si>
  <si>
    <t xml:space="preserve">RL 180+
Auto
accounts</t>
  </si>
  <si>
    <t xml:space="preserve">RL 180+
all
accounts</t>
  </si>
  <si>
    <t xml:space="preserve">In Country – Reachable</t>
  </si>
  <si>
    <t xml:space="preserve">In Country – Non-Reachable</t>
  </si>
  <si>
    <t xml:space="preserve">In Country – Unknown</t>
  </si>
  <si>
    <t xml:space="preserve">Skip – Reachable</t>
  </si>
  <si>
    <t xml:space="preserve">Skip – Non-Reachable</t>
  </si>
  <si>
    <t xml:space="preserve">Skip – Unknown</t>
  </si>
  <si>
    <t xml:space="preserve">Unknown – Reachable</t>
  </si>
  <si>
    <t xml:space="preserve">Unknown – Non-Reachable</t>
  </si>
  <si>
    <t xml:space="preserve">Unknown – Unknown</t>
  </si>
  <si>
    <t xml:space="preserve">Total</t>
  </si>
  <si>
    <t xml:space="preserve">Location (all accounts, deceased included)</t>
  </si>
  <si>
    <t xml:space="preserve">Reachability (all accounts, deceased included)</t>
  </si>
  <si>
    <t xml:space="preserve">Why Skip: the latest evidence</t>
  </si>
  <si>
    <t xml:space="preserve">Reason</t>
  </si>
  <si>
    <t xml:space="preserve">Login from abroad</t>
  </si>
  <si>
    <t xml:space="preserve">Credit card used abroad</t>
  </si>
  <si>
    <t xml:space="preserve">Debit card / ATM used abroad</t>
  </si>
  <si>
    <t xml:space="preserve">Travel purchase</t>
  </si>
  <si>
    <t xml:space="preserve">Collector departure note</t>
  </si>
  <si>
    <t xml:space="preserve">Why In Country: the latest evidence</t>
  </si>
  <si>
    <t xml:space="preserve">UAE login</t>
  </si>
  <si>
    <t xml:space="preserve">Credit card used in the UAE</t>
  </si>
  <si>
    <t xml:space="preserve">Debit card / ATM used in the UAE</t>
  </si>
  <si>
    <t xml:space="preserve">Why Location is Unknown</t>
  </si>
  <si>
    <t xml:space="preserve">No evidence</t>
  </si>
  <si>
    <t xml:space="preserve">UAE evidence older than the window</t>
  </si>
  <si>
    <t xml:space="preserve">Location Unknown</t>
  </si>
  <si>
    <t xml:space="preserve">Why Reachability is Unknown</t>
  </si>
  <si>
    <t xml:space="preserve">No contact history</t>
  </si>
  <si>
    <t xml:space="preserve">No contact in the window</t>
  </si>
  <si>
    <t xml:space="preserve">Reachability Unknown</t>
  </si>
  <si>
    <t xml:space="preserve">Coverage</t>
  </si>
  <si>
    <t xml:space="preserve">Accounts in scope</t>
  </si>
  <si>
    <t xml:space="preserve">Coverage (target 100%)</t>
  </si>
  <si>
    <t xml:space="preserve">Every account in scope gets one value on each dimension, so each table adds up to the accounts in scope.</t>
  </si>
  <si>
    <t xml:space="preserve">Example of the expected format: CC 61–180 Combined state 'In Country – Reachable' = 12,345 accounts.</t>
  </si>
  <si>
    <t xml:space="preserve">Aggregates only; no account-level data.</t>
  </si>
  <si>
    <t xml:space="preserve">Results 180+ by vintage</t>
  </si>
  <si>
    <t xml:space="preserve">Combined state by vintage at 180+ DPD. Vintage = charge-off age: early-stage = charged off less than 2 years ago, late-stage = 2 years or more (charge-off = reaching 180+ DPD). Yellow = to fill; shares are within each vintage.</t>
  </si>
  <si>
    <t xml:space="preserve">CC 180+
early-stage charge-off
(&lt; 2 years)
accounts</t>
  </si>
  <si>
    <t xml:space="preserve">CC 180+
late-stage charge-off
(2+ years)
accounts</t>
  </si>
  <si>
    <t xml:space="preserve">RL 180+
early-stage charge-off
(&lt; 2 years)
accounts</t>
  </si>
  <si>
    <t xml:space="preserve">RL 180+
late-stage charge-off
(2+ years)
accounts</t>
  </si>
  <si>
    <t xml:space="preserve">RL vintages cover all three products together; split by product if GRR needs it.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</si>
</sst>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62626"/>
      </patternFill>
    </fill>
    <fill>
      <patternFill patternType="solid">
        <fgColor rgb="FF548235"/>
        <bgColor rgb="FF33996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8EA9DB"/>
      </patternFill>
    </fill>
    <fill>
      <patternFill patternType="solid">
        <fgColor rgb="FF2F5597"/>
        <bgColor rgb="FF1F3864"/>
      </patternFill>
    </fill>
    <fill>
      <patternFill patternType="solid">
        <fgColor rgb="FFC55A11"/>
        <bgColor rgb="FF993300"/>
      </patternFill>
    </fill>
    <fill>
      <patternFill patternType="solid">
        <fgColor rgb="FF262626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A9D08E"/>
        <bgColor rgb="FFBFBFBF"/>
      </patternFill>
    </fill>
    <fill>
      <patternFill patternType="solid">
        <fgColor rgb="FFFF7C80"/>
        <bgColor rgb="FFF4B183"/>
      </patternFill>
    </fill>
    <fill>
      <patternFill patternType="solid">
        <fgColor rgb="FFF4B183"/>
        <bgColor rgb="FFF8CBAD"/>
      </patternFill>
    </fill>
    <fill>
      <patternFill patternType="solid">
        <fgColor rgb="FF8EA9DB"/>
        <bgColor rgb="FFA6A6A6"/>
      </patternFill>
    </fill>
    <fill>
      <patternFill patternType="solid">
        <fgColor rgb="FFBDD7EE"/>
        <bgColor rgb="FFBFBFBF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08E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40"/>
    <col collapsed="false" customWidth="true" hidden="false" outlineLevel="0" max="5" min="5" style="0" width="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5.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5.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5.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5.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8" customFormat="false" ht="25.5" hidden="false" customHeight="true" outlineLevel="0" collapsed="false">
      <c r="A8" s="3" t="s">
        <v>10</v>
      </c>
      <c r="B8" s="4" t="s">
        <v>11</v>
      </c>
      <c r="C8" s="4"/>
      <c r="D8" s="4"/>
      <c r="E8" s="4"/>
    </row>
    <row r="9" customFormat="false" ht="25.5" hidden="false" customHeight="true" outlineLevel="0" collapsed="false">
      <c r="A9" s="3" t="s">
        <v>12</v>
      </c>
      <c r="B9" s="4" t="s">
        <v>13</v>
      </c>
      <c r="C9" s="4"/>
      <c r="D9" s="4"/>
      <c r="E9" s="4"/>
    </row>
    <row r="11" customFormat="false" ht="15" hidden="false" customHeight="false" outlineLevel="0" collapsed="false">
      <c r="A11" s="5" t="s">
        <v>14</v>
      </c>
      <c r="B11" s="6"/>
      <c r="C11" s="6"/>
      <c r="D11" s="6"/>
      <c r="E11" s="6"/>
    </row>
    <row r="12" customFormat="false" ht="15" hidden="false" customHeight="true" outlineLevel="0" collapsed="false">
      <c r="A12" s="7" t="s">
        <v>15</v>
      </c>
      <c r="B12" s="7" t="s">
        <v>16</v>
      </c>
      <c r="C12" s="7" t="s">
        <v>17</v>
      </c>
      <c r="D12" s="7"/>
      <c r="E12" s="7"/>
    </row>
    <row r="13" customFormat="false" ht="30" hidden="false" customHeight="true" outlineLevel="0" collapsed="false">
      <c r="A13" s="8" t="s">
        <v>18</v>
      </c>
      <c r="B13" s="9" t="s">
        <v>4</v>
      </c>
      <c r="C13" s="9" t="s">
        <v>19</v>
      </c>
      <c r="D13" s="9"/>
      <c r="E13" s="9"/>
    </row>
    <row r="14" customFormat="false" ht="30" hidden="false" customHeight="true" outlineLevel="0" collapsed="false">
      <c r="A14" s="10" t="s">
        <v>20</v>
      </c>
      <c r="B14" s="9" t="s">
        <v>4</v>
      </c>
      <c r="C14" s="9" t="s">
        <v>21</v>
      </c>
      <c r="D14" s="9"/>
      <c r="E14" s="9"/>
    </row>
    <row r="15" customFormat="false" ht="30" hidden="false" customHeight="true" outlineLevel="0" collapsed="false">
      <c r="A15" s="11" t="s">
        <v>22</v>
      </c>
      <c r="B15" s="9" t="s">
        <v>4</v>
      </c>
      <c r="C15" s="9" t="s">
        <v>23</v>
      </c>
      <c r="D15" s="9"/>
      <c r="E15" s="9"/>
    </row>
    <row r="16" customFormat="false" ht="30" hidden="false" customHeight="true" outlineLevel="0" collapsed="false">
      <c r="A16" s="12" t="s">
        <v>24</v>
      </c>
      <c r="B16" s="9" t="s">
        <v>6</v>
      </c>
      <c r="C16" s="9" t="s">
        <v>25</v>
      </c>
      <c r="D16" s="9"/>
      <c r="E16" s="9"/>
    </row>
    <row r="17" customFormat="false" ht="30" hidden="false" customHeight="true" outlineLevel="0" collapsed="false">
      <c r="A17" s="13" t="s">
        <v>26</v>
      </c>
      <c r="B17" s="9" t="s">
        <v>6</v>
      </c>
      <c r="C17" s="9" t="s">
        <v>27</v>
      </c>
      <c r="D17" s="9"/>
      <c r="E17" s="9"/>
    </row>
    <row r="18" customFormat="false" ht="30" hidden="false" customHeight="true" outlineLevel="0" collapsed="false">
      <c r="A18" s="11" t="s">
        <v>22</v>
      </c>
      <c r="B18" s="9" t="s">
        <v>6</v>
      </c>
      <c r="C18" s="9" t="s">
        <v>28</v>
      </c>
      <c r="D18" s="9"/>
      <c r="E18" s="9"/>
    </row>
    <row r="19" customFormat="false" ht="30" hidden="false" customHeight="true" outlineLevel="0" collapsed="false">
      <c r="A19" s="14" t="s">
        <v>10</v>
      </c>
      <c r="B19" s="9" t="s">
        <v>29</v>
      </c>
      <c r="C19" s="9" t="s">
        <v>30</v>
      </c>
      <c r="D19" s="9"/>
      <c r="E19" s="9"/>
    </row>
    <row r="21" customFormat="false" ht="15" hidden="false" customHeight="false" outlineLevel="0" collapsed="false">
      <c r="A21" s="5" t="s">
        <v>31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32</v>
      </c>
      <c r="B22" s="7" t="s">
        <v>24</v>
      </c>
      <c r="C22" s="7" t="s">
        <v>26</v>
      </c>
      <c r="D22" s="7" t="s">
        <v>22</v>
      </c>
    </row>
    <row r="23" customFormat="false" ht="43.5" hidden="false" customHeight="true" outlineLevel="0" collapsed="false">
      <c r="A23" s="8" t="s">
        <v>18</v>
      </c>
      <c r="B23" s="9" t="s">
        <v>33</v>
      </c>
      <c r="C23" s="9" t="s">
        <v>34</v>
      </c>
      <c r="D23" s="9" t="s">
        <v>35</v>
      </c>
    </row>
    <row r="24" customFormat="false" ht="43.5" hidden="false" customHeight="true" outlineLevel="0" collapsed="false">
      <c r="A24" s="10" t="s">
        <v>20</v>
      </c>
      <c r="B24" s="9" t="s">
        <v>36</v>
      </c>
      <c r="C24" s="9" t="s">
        <v>37</v>
      </c>
      <c r="D24" s="9" t="s">
        <v>38</v>
      </c>
    </row>
    <row r="25" customFormat="false" ht="43.5" hidden="false" customHeight="true" outlineLevel="0" collapsed="false">
      <c r="A25" s="11" t="s">
        <v>22</v>
      </c>
      <c r="B25" s="9" t="s">
        <v>39</v>
      </c>
      <c r="C25" s="9" t="s">
        <v>40</v>
      </c>
      <c r="D25" s="9" t="s">
        <v>41</v>
      </c>
    </row>
    <row r="26" customFormat="false" ht="15" hidden="false" customHeight="false" outlineLevel="0" collapsed="false">
      <c r="A26" s="14" t="s">
        <v>10</v>
      </c>
      <c r="B26" s="15" t="s">
        <v>42</v>
      </c>
      <c r="C26" s="15"/>
      <c r="D26" s="15"/>
    </row>
    <row r="28" customFormat="false" ht="15" hidden="false" customHeight="true" outlineLevel="0" collapsed="false">
      <c r="A28" s="2" t="s">
        <v>43</v>
      </c>
      <c r="B28" s="2"/>
      <c r="C28" s="2"/>
      <c r="D28" s="2"/>
      <c r="E28" s="2"/>
    </row>
  </sheetData>
  <mergeCells count="17">
    <mergeCell ref="A2:E2"/>
    <mergeCell ref="B4:E4"/>
    <mergeCell ref="B5:E5"/>
    <mergeCell ref="B6:E6"/>
    <mergeCell ref="B7:E7"/>
    <mergeCell ref="B8:E8"/>
    <mergeCell ref="B9:E9"/>
    <mergeCell ref="C12:E12"/>
    <mergeCell ref="C13:E13"/>
    <mergeCell ref="C14:E14"/>
    <mergeCell ref="C15:E15"/>
    <mergeCell ref="C16:E16"/>
    <mergeCell ref="C17:E17"/>
    <mergeCell ref="C18:E18"/>
    <mergeCell ref="C19:E19"/>
    <mergeCell ref="B26:D26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44</v>
      </c>
    </row>
    <row r="2" customFormat="false" ht="30" hidden="false" customHeight="true" outlineLevel="0" collapsed="false">
      <c r="A2" s="2" t="s">
        <v>45</v>
      </c>
      <c r="B2" s="2"/>
      <c r="C2" s="2"/>
      <c r="D2" s="2"/>
    </row>
    <row r="4" customFormat="false" ht="15" hidden="false" customHeight="false" outlineLevel="0" collapsed="false">
      <c r="A4" s="5" t="s">
        <v>46</v>
      </c>
      <c r="B4" s="6"/>
      <c r="C4" s="6"/>
      <c r="D4" s="6"/>
    </row>
    <row r="5" customFormat="false" ht="30" hidden="false" customHeight="true" outlineLevel="0" collapsed="false">
      <c r="A5" s="16" t="s">
        <v>47</v>
      </c>
      <c r="B5" s="17" t="s">
        <v>48</v>
      </c>
      <c r="C5" s="18" t="s">
        <v>49</v>
      </c>
      <c r="D5" s="14" t="s">
        <v>50</v>
      </c>
    </row>
    <row r="7" customFormat="false" ht="15" hidden="false" customHeight="false" outlineLevel="0" collapsed="false">
      <c r="A7" s="5" t="s">
        <v>4</v>
      </c>
      <c r="B7" s="6"/>
      <c r="C7" s="6"/>
      <c r="D7" s="6"/>
    </row>
    <row r="8" customFormat="false" ht="30" hidden="false" customHeight="true" outlineLevel="0" collapsed="false">
      <c r="A8" s="16" t="s">
        <v>47</v>
      </c>
      <c r="B8" s="17" t="s">
        <v>51</v>
      </c>
      <c r="C8" s="18" t="s">
        <v>52</v>
      </c>
      <c r="D8" s="10" t="s">
        <v>20</v>
      </c>
    </row>
    <row r="9" customFormat="false" ht="15" hidden="false" customHeight="false" outlineLevel="0" collapsed="false">
      <c r="B9" s="19" t="s">
        <v>53</v>
      </c>
    </row>
    <row r="10" customFormat="false" ht="30" hidden="false" customHeight="true" outlineLevel="0" collapsed="false">
      <c r="A10" s="16" t="s">
        <v>54</v>
      </c>
      <c r="B10" s="17" t="s">
        <v>55</v>
      </c>
      <c r="C10" s="18" t="s">
        <v>52</v>
      </c>
      <c r="D10" s="8" t="s">
        <v>18</v>
      </c>
    </row>
    <row r="11" customFormat="false" ht="15" hidden="false" customHeight="false" outlineLevel="0" collapsed="false">
      <c r="B11" s="19" t="s">
        <v>53</v>
      </c>
    </row>
    <row r="12" customFormat="false" ht="30" hidden="false" customHeight="true" outlineLevel="0" collapsed="false">
      <c r="A12" s="16" t="s">
        <v>56</v>
      </c>
      <c r="B12" s="17" t="s">
        <v>57</v>
      </c>
      <c r="C12" s="18" t="s">
        <v>49</v>
      </c>
      <c r="D12" s="11" t="s">
        <v>22</v>
      </c>
    </row>
    <row r="14" customFormat="false" ht="15" hidden="false" customHeight="false" outlineLevel="0" collapsed="false">
      <c r="A14" s="5" t="s">
        <v>6</v>
      </c>
      <c r="B14" s="6"/>
      <c r="C14" s="6"/>
      <c r="D14" s="6"/>
    </row>
    <row r="15" customFormat="false" ht="30" hidden="false" customHeight="true" outlineLevel="0" collapsed="false">
      <c r="A15" s="16" t="s">
        <v>47</v>
      </c>
      <c r="B15" s="17" t="s">
        <v>58</v>
      </c>
      <c r="C15" s="18" t="s">
        <v>52</v>
      </c>
      <c r="D15" s="13" t="s">
        <v>26</v>
      </c>
    </row>
    <row r="16" customFormat="false" ht="15" hidden="false" customHeight="false" outlineLevel="0" collapsed="false">
      <c r="B16" s="19" t="s">
        <v>53</v>
      </c>
    </row>
    <row r="17" customFormat="false" ht="30" hidden="false" customHeight="true" outlineLevel="0" collapsed="false">
      <c r="A17" s="16" t="s">
        <v>54</v>
      </c>
      <c r="B17" s="17" t="s">
        <v>59</v>
      </c>
      <c r="C17" s="18" t="s">
        <v>52</v>
      </c>
      <c r="D17" s="12" t="s">
        <v>24</v>
      </c>
    </row>
    <row r="18" customFormat="false" ht="15" hidden="false" customHeight="false" outlineLevel="0" collapsed="false">
      <c r="B18" s="19" t="s">
        <v>53</v>
      </c>
    </row>
    <row r="19" customFormat="false" ht="30" hidden="false" customHeight="true" outlineLevel="0" collapsed="false">
      <c r="A19" s="16" t="s">
        <v>56</v>
      </c>
      <c r="B19" s="17" t="s">
        <v>60</v>
      </c>
      <c r="C19" s="18" t="s">
        <v>49</v>
      </c>
      <c r="D19" s="11" t="s">
        <v>22</v>
      </c>
    </row>
    <row r="21" customFormat="false" ht="15" hidden="false" customHeight="false" outlineLevel="0" collapsed="false">
      <c r="A21" s="5" t="s">
        <v>61</v>
      </c>
      <c r="B21" s="6"/>
      <c r="C21" s="6"/>
      <c r="D21" s="6"/>
    </row>
    <row r="22" customFormat="false" ht="15" hidden="false" customHeight="true" outlineLevel="0" collapsed="false">
      <c r="A22" s="7" t="s">
        <v>16</v>
      </c>
      <c r="B22" s="7" t="s">
        <v>15</v>
      </c>
      <c r="C22" s="7" t="s">
        <v>62</v>
      </c>
      <c r="D22" s="7"/>
    </row>
    <row r="23" customFormat="false" ht="43.5" hidden="false" customHeight="true" outlineLevel="0" collapsed="false">
      <c r="A23" s="20" t="s">
        <v>10</v>
      </c>
      <c r="B23" s="14" t="s">
        <v>10</v>
      </c>
      <c r="C23" s="9" t="s">
        <v>63</v>
      </c>
      <c r="D23" s="9"/>
    </row>
    <row r="24" customFormat="false" ht="43.5" hidden="false" customHeight="true" outlineLevel="0" collapsed="false">
      <c r="A24" s="20" t="s">
        <v>4</v>
      </c>
      <c r="B24" s="10" t="s">
        <v>20</v>
      </c>
      <c r="C24" s="9" t="s">
        <v>64</v>
      </c>
      <c r="D24" s="9"/>
    </row>
    <row r="25" customFormat="false" ht="30" hidden="false" customHeight="true" outlineLevel="0" collapsed="false">
      <c r="A25" s="20" t="s">
        <v>4</v>
      </c>
      <c r="B25" s="8" t="s">
        <v>18</v>
      </c>
      <c r="C25" s="9" t="s">
        <v>65</v>
      </c>
      <c r="D25" s="9"/>
    </row>
    <row r="26" customFormat="false" ht="30" hidden="false" customHeight="true" outlineLevel="0" collapsed="false">
      <c r="A26" s="20" t="s">
        <v>4</v>
      </c>
      <c r="B26" s="11" t="s">
        <v>22</v>
      </c>
      <c r="C26" s="9" t="s">
        <v>66</v>
      </c>
      <c r="D26" s="9"/>
    </row>
    <row r="27" customFormat="false" ht="43.5" hidden="false" customHeight="true" outlineLevel="0" collapsed="false">
      <c r="A27" s="20" t="s">
        <v>6</v>
      </c>
      <c r="B27" s="13" t="s">
        <v>26</v>
      </c>
      <c r="C27" s="9" t="s">
        <v>67</v>
      </c>
      <c r="D27" s="9"/>
    </row>
    <row r="28" customFormat="false" ht="43.5" hidden="false" customHeight="true" outlineLevel="0" collapsed="false">
      <c r="A28" s="20" t="s">
        <v>6</v>
      </c>
      <c r="B28" s="12" t="s">
        <v>24</v>
      </c>
      <c r="C28" s="9" t="s">
        <v>68</v>
      </c>
      <c r="D28" s="9"/>
    </row>
    <row r="29" customFormat="false" ht="30" hidden="false" customHeight="true" outlineLevel="0" collapsed="false">
      <c r="A29" s="20" t="s">
        <v>6</v>
      </c>
      <c r="B29" s="11" t="s">
        <v>22</v>
      </c>
      <c r="C29" s="9" t="s">
        <v>69</v>
      </c>
      <c r="D29" s="9"/>
    </row>
    <row r="31" customFormat="false" ht="15" hidden="false" customHeight="false" outlineLevel="0" collapsed="false">
      <c r="A31" s="5" t="s">
        <v>70</v>
      </c>
      <c r="B31" s="6"/>
      <c r="C31" s="6"/>
      <c r="D31" s="6"/>
    </row>
    <row r="32" customFormat="false" ht="30" hidden="false" customHeight="true" outlineLevel="0" collapsed="false">
      <c r="A32" s="21" t="s">
        <v>71</v>
      </c>
      <c r="B32" s="4" t="s">
        <v>72</v>
      </c>
      <c r="C32" s="4"/>
      <c r="D32" s="4"/>
    </row>
    <row r="33" customFormat="false" ht="30" hidden="false" customHeight="true" outlineLevel="0" collapsed="false">
      <c r="A33" s="21" t="s">
        <v>73</v>
      </c>
      <c r="B33" s="4" t="s">
        <v>74</v>
      </c>
      <c r="C33" s="4"/>
      <c r="D33" s="4"/>
    </row>
    <row r="34" customFormat="false" ht="30" hidden="false" customHeight="true" outlineLevel="0" collapsed="false">
      <c r="A34" s="21" t="s">
        <v>75</v>
      </c>
      <c r="B34" s="4" t="s">
        <v>76</v>
      </c>
      <c r="C34" s="4"/>
      <c r="D34" s="4"/>
    </row>
    <row r="35" customFormat="false" ht="30" hidden="false" customHeight="true" outlineLevel="0" collapsed="false">
      <c r="A35" s="21" t="s">
        <v>77</v>
      </c>
      <c r="B35" s="4" t="s">
        <v>78</v>
      </c>
      <c r="C35" s="4"/>
      <c r="D35" s="4"/>
    </row>
    <row r="36" customFormat="false" ht="30" hidden="false" customHeight="true" outlineLevel="0" collapsed="false">
      <c r="A36" s="21" t="s">
        <v>79</v>
      </c>
      <c r="B36" s="4" t="s">
        <v>80</v>
      </c>
      <c r="C36" s="4"/>
      <c r="D36" s="4"/>
    </row>
    <row r="37" customFormat="false" ht="30" hidden="false" customHeight="true" outlineLevel="0" collapsed="false">
      <c r="A37" s="21" t="s">
        <v>81</v>
      </c>
      <c r="B37" s="4" t="s">
        <v>82</v>
      </c>
      <c r="C37" s="4"/>
      <c r="D37" s="4"/>
    </row>
  </sheetData>
  <mergeCells count="15">
    <mergeCell ref="A2:D2"/>
    <mergeCell ref="C22:D22"/>
    <mergeCell ref="C23:D23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6.51"/>
    <col collapsed="false" customWidth="true" hidden="false" outlineLevel="0" max="14" min="14" style="0" width="52"/>
  </cols>
  <sheetData>
    <row r="1" customFormat="false" ht="19.7" hidden="false" customHeight="false" outlineLevel="0" collapsed="false">
      <c r="A1" s="1" t="s">
        <v>83</v>
      </c>
    </row>
    <row r="2" customFormat="false" ht="30" hidden="false" customHeight="true" outlineLevel="0" collapsed="false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5" t="s">
        <v>85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2.35" hidden="false" customHeight="true" outlineLevel="0" collapsed="false">
      <c r="A5" s="22" t="s">
        <v>86</v>
      </c>
      <c r="B5" s="23" t="s">
        <v>87</v>
      </c>
      <c r="C5" s="23"/>
      <c r="D5" s="23"/>
      <c r="E5" s="24" t="s">
        <v>88</v>
      </c>
      <c r="F5" s="24"/>
      <c r="G5" s="24"/>
      <c r="H5" s="25" t="s">
        <v>89</v>
      </c>
      <c r="I5" s="25"/>
      <c r="J5" s="25"/>
      <c r="K5" s="26" t="s">
        <v>90</v>
      </c>
      <c r="L5" s="26"/>
      <c r="M5" s="26"/>
    </row>
    <row r="7" customFormat="false" ht="15" hidden="false" customHeight="false" outlineLevel="0" collapsed="false">
      <c r="A7" s="7" t="s">
        <v>15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  <c r="G7" s="7" t="s">
        <v>96</v>
      </c>
      <c r="H7" s="7" t="s">
        <v>97</v>
      </c>
      <c r="I7" s="7" t="s">
        <v>98</v>
      </c>
      <c r="J7" s="7" t="s">
        <v>99</v>
      </c>
      <c r="K7" s="27" t="s">
        <v>100</v>
      </c>
      <c r="L7" s="27" t="s">
        <v>101</v>
      </c>
      <c r="M7" s="27" t="s">
        <v>102</v>
      </c>
      <c r="N7" s="7" t="s">
        <v>103</v>
      </c>
    </row>
    <row r="8" customFormat="false" ht="30" hidden="false" customHeight="true" outlineLevel="0" collapsed="false">
      <c r="A8" s="8" t="s">
        <v>18</v>
      </c>
      <c r="B8" s="28"/>
      <c r="C8" s="28"/>
      <c r="D8" s="28"/>
      <c r="E8" s="29" t="s">
        <v>104</v>
      </c>
      <c r="F8" s="28"/>
      <c r="G8" s="28"/>
      <c r="H8" s="28"/>
      <c r="I8" s="28"/>
      <c r="J8" s="28"/>
      <c r="K8" s="30"/>
      <c r="L8" s="31" t="s">
        <v>105</v>
      </c>
      <c r="M8" s="30"/>
      <c r="N8" s="9" t="s">
        <v>106</v>
      </c>
    </row>
    <row r="9" customFormat="false" ht="30" hidden="false" customHeight="true" outlineLevel="0" collapsed="false">
      <c r="A9" s="8" t="s">
        <v>18</v>
      </c>
      <c r="B9" s="28"/>
      <c r="C9" s="28"/>
      <c r="D9" s="28"/>
      <c r="E9" s="28"/>
      <c r="F9" s="28"/>
      <c r="G9" s="32" t="s">
        <v>107</v>
      </c>
      <c r="H9" s="29" t="s">
        <v>104</v>
      </c>
      <c r="I9" s="28"/>
      <c r="J9" s="28"/>
      <c r="K9" s="30"/>
      <c r="L9" s="31" t="s">
        <v>105</v>
      </c>
      <c r="M9" s="30"/>
      <c r="N9" s="9" t="s">
        <v>108</v>
      </c>
    </row>
    <row r="10" customFormat="false" ht="30" hidden="false" customHeight="true" outlineLevel="0" collapsed="false">
      <c r="A10" s="8" t="s">
        <v>18</v>
      </c>
      <c r="B10" s="28"/>
      <c r="C10" s="28"/>
      <c r="D10" s="28"/>
      <c r="E10" s="28"/>
      <c r="F10" s="28"/>
      <c r="G10" s="28"/>
      <c r="H10" s="28"/>
      <c r="I10" s="33" t="s">
        <v>109</v>
      </c>
      <c r="J10" s="28"/>
      <c r="K10" s="30"/>
      <c r="L10" s="30"/>
      <c r="M10" s="31" t="s">
        <v>105</v>
      </c>
      <c r="N10" s="9" t="s">
        <v>110</v>
      </c>
    </row>
    <row r="11" customFormat="false" ht="30" hidden="false" customHeight="true" outlineLevel="0" collapsed="false">
      <c r="A11" s="10" t="s">
        <v>20</v>
      </c>
      <c r="B11" s="28"/>
      <c r="C11" s="28"/>
      <c r="D11" s="28"/>
      <c r="E11" s="28"/>
      <c r="F11" s="28"/>
      <c r="G11" s="28"/>
      <c r="H11" s="28"/>
      <c r="I11" s="28"/>
      <c r="J11" s="31" t="s">
        <v>105</v>
      </c>
      <c r="K11" s="30"/>
      <c r="L11" s="29" t="s">
        <v>104</v>
      </c>
      <c r="M11" s="30"/>
      <c r="N11" s="9" t="s">
        <v>111</v>
      </c>
    </row>
    <row r="12" customFormat="false" ht="30" hidden="false" customHeight="true" outlineLevel="0" collapsed="false">
      <c r="A12" s="10" t="s">
        <v>20</v>
      </c>
      <c r="B12" s="28"/>
      <c r="C12" s="29" t="s">
        <v>104</v>
      </c>
      <c r="D12" s="28"/>
      <c r="E12" s="28"/>
      <c r="F12" s="28"/>
      <c r="G12" s="28"/>
      <c r="H12" s="28"/>
      <c r="I12" s="28"/>
      <c r="J12" s="28"/>
      <c r="K12" s="30"/>
      <c r="L12" s="30"/>
      <c r="M12" s="30"/>
      <c r="N12" s="9" t="s">
        <v>112</v>
      </c>
    </row>
    <row r="13" customFormat="false" ht="30" hidden="false" customHeight="true" outlineLevel="0" collapsed="false">
      <c r="A13" s="10" t="s">
        <v>20</v>
      </c>
      <c r="B13" s="28"/>
      <c r="C13" s="28"/>
      <c r="D13" s="31" t="s">
        <v>105</v>
      </c>
      <c r="E13" s="28"/>
      <c r="F13" s="28"/>
      <c r="G13" s="28"/>
      <c r="H13" s="28"/>
      <c r="I13" s="32" t="s">
        <v>107</v>
      </c>
      <c r="J13" s="28"/>
      <c r="K13" s="30"/>
      <c r="L13" s="30"/>
      <c r="M13" s="30"/>
      <c r="N13" s="9" t="s">
        <v>113</v>
      </c>
    </row>
    <row r="14" customFormat="false" ht="30" hidden="false" customHeight="true" outlineLevel="0" collapsed="false">
      <c r="A14" s="10" t="s">
        <v>20</v>
      </c>
      <c r="B14" s="28"/>
      <c r="C14" s="28"/>
      <c r="D14" s="28"/>
      <c r="E14" s="28"/>
      <c r="F14" s="28"/>
      <c r="G14" s="28"/>
      <c r="H14" s="31" t="s">
        <v>105</v>
      </c>
      <c r="I14" s="28"/>
      <c r="J14" s="28"/>
      <c r="K14" s="33" t="s">
        <v>109</v>
      </c>
      <c r="L14" s="30"/>
      <c r="M14" s="30"/>
      <c r="N14" s="9" t="s">
        <v>114</v>
      </c>
    </row>
    <row r="15" customFormat="false" ht="30" hidden="false" customHeight="true" outlineLevel="0" collapsed="false">
      <c r="A15" s="11" t="s">
        <v>22</v>
      </c>
      <c r="B15" s="28"/>
      <c r="C15" s="28"/>
      <c r="D15" s="28"/>
      <c r="E15" s="28"/>
      <c r="F15" s="28"/>
      <c r="G15" s="28"/>
      <c r="H15" s="31" t="s">
        <v>105</v>
      </c>
      <c r="I15" s="28"/>
      <c r="J15" s="28"/>
      <c r="K15" s="30"/>
      <c r="L15" s="30"/>
      <c r="M15" s="30"/>
      <c r="N15" s="9" t="s">
        <v>115</v>
      </c>
    </row>
    <row r="16" customFormat="false" ht="30" hidden="false" customHeight="true" outlineLevel="0" collapsed="false">
      <c r="A16" s="11" t="s">
        <v>22</v>
      </c>
      <c r="B16" s="28"/>
      <c r="C16" s="28"/>
      <c r="D16" s="28"/>
      <c r="E16" s="28"/>
      <c r="F16" s="28"/>
      <c r="G16" s="28"/>
      <c r="H16" s="28"/>
      <c r="I16" s="28"/>
      <c r="J16" s="28"/>
      <c r="K16" s="30"/>
      <c r="L16" s="30"/>
      <c r="M16" s="30"/>
      <c r="N16" s="9" t="s">
        <v>116</v>
      </c>
    </row>
    <row r="17" customFormat="false" ht="30" hidden="false" customHeight="true" outlineLevel="0" collapsed="false">
      <c r="A17" s="11" t="s">
        <v>22</v>
      </c>
      <c r="B17" s="28"/>
      <c r="C17" s="28"/>
      <c r="D17" s="28"/>
      <c r="E17" s="28"/>
      <c r="F17" s="28"/>
      <c r="G17" s="28"/>
      <c r="H17" s="28"/>
      <c r="I17" s="28"/>
      <c r="J17" s="28"/>
      <c r="K17" s="30"/>
      <c r="L17" s="30"/>
      <c r="M17" s="30"/>
      <c r="N17" s="9" t="s">
        <v>117</v>
      </c>
    </row>
    <row r="19" customFormat="false" ht="15" hidden="false" customHeight="false" outlineLevel="0" collapsed="false">
      <c r="A19" s="5" t="s">
        <v>118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true" outlineLevel="0" collapsed="false">
      <c r="A20" s="22" t="s">
        <v>86</v>
      </c>
      <c r="B20" s="34" t="s">
        <v>119</v>
      </c>
      <c r="C20" s="34"/>
      <c r="D20" s="34"/>
      <c r="E20" s="35" t="s">
        <v>120</v>
      </c>
      <c r="F20" s="35"/>
      <c r="G20" s="35"/>
      <c r="H20" s="36" t="s">
        <v>121</v>
      </c>
      <c r="I20" s="36"/>
      <c r="J20" s="36"/>
      <c r="K20" s="37" t="s">
        <v>122</v>
      </c>
      <c r="L20" s="37"/>
      <c r="M20" s="37"/>
    </row>
    <row r="22" customFormat="false" ht="15" hidden="false" customHeight="false" outlineLevel="0" collapsed="false">
      <c r="A22" s="7" t="s">
        <v>15</v>
      </c>
      <c r="B22" s="7" t="s">
        <v>91</v>
      </c>
      <c r="C22" s="7" t="s">
        <v>92</v>
      </c>
      <c r="D22" s="7" t="s">
        <v>93</v>
      </c>
      <c r="E22" s="7" t="s">
        <v>94</v>
      </c>
      <c r="F22" s="7" t="s">
        <v>95</v>
      </c>
      <c r="G22" s="7" t="s">
        <v>96</v>
      </c>
      <c r="H22" s="7" t="s">
        <v>97</v>
      </c>
      <c r="I22" s="7" t="s">
        <v>98</v>
      </c>
      <c r="J22" s="7" t="s">
        <v>99</v>
      </c>
      <c r="K22" s="27" t="s">
        <v>100</v>
      </c>
      <c r="L22" s="27" t="s">
        <v>101</v>
      </c>
      <c r="M22" s="27" t="s">
        <v>102</v>
      </c>
      <c r="N22" s="7" t="s">
        <v>103</v>
      </c>
    </row>
    <row r="23" customFormat="false" ht="30" hidden="false" customHeight="true" outlineLevel="0" collapsed="false">
      <c r="A23" s="12" t="s">
        <v>24</v>
      </c>
      <c r="B23" s="28"/>
      <c r="C23" s="28"/>
      <c r="D23" s="28"/>
      <c r="E23" s="28"/>
      <c r="F23" s="28"/>
      <c r="G23" s="28"/>
      <c r="H23" s="28"/>
      <c r="I23" s="28"/>
      <c r="J23" s="28"/>
      <c r="K23" s="30"/>
      <c r="L23" s="38" t="s">
        <v>123</v>
      </c>
      <c r="M23" s="30"/>
      <c r="N23" s="9" t="s">
        <v>124</v>
      </c>
    </row>
    <row r="24" customFormat="false" ht="30" hidden="false" customHeight="true" outlineLevel="0" collapsed="false">
      <c r="A24" s="12" t="s">
        <v>24</v>
      </c>
      <c r="B24" s="28"/>
      <c r="C24" s="28"/>
      <c r="D24" s="28"/>
      <c r="E24" s="28"/>
      <c r="F24" s="28"/>
      <c r="G24" s="28"/>
      <c r="H24" s="28"/>
      <c r="I24" s="28"/>
      <c r="J24" s="28"/>
      <c r="K24" s="39" t="s">
        <v>125</v>
      </c>
      <c r="L24" s="30"/>
      <c r="M24" s="30"/>
      <c r="N24" s="9" t="s">
        <v>126</v>
      </c>
    </row>
    <row r="25" customFormat="false" ht="30" hidden="false" customHeight="true" outlineLevel="0" collapsed="false">
      <c r="A25" s="12" t="s">
        <v>24</v>
      </c>
      <c r="B25" s="28"/>
      <c r="C25" s="28"/>
      <c r="D25" s="28"/>
      <c r="E25" s="28"/>
      <c r="F25" s="28"/>
      <c r="G25" s="28"/>
      <c r="H25" s="28"/>
      <c r="I25" s="28"/>
      <c r="J25" s="28"/>
      <c r="K25" s="40" t="s">
        <v>127</v>
      </c>
      <c r="L25" s="40" t="s">
        <v>127</v>
      </c>
      <c r="M25" s="39" t="s">
        <v>128</v>
      </c>
      <c r="N25" s="9" t="s">
        <v>129</v>
      </c>
    </row>
    <row r="26" customFormat="false" ht="30" hidden="false" customHeight="true" outlineLevel="0" collapsed="false">
      <c r="A26" s="12" t="s">
        <v>24</v>
      </c>
      <c r="B26" s="28"/>
      <c r="C26" s="28"/>
      <c r="D26" s="28"/>
      <c r="E26" s="28"/>
      <c r="F26" s="28"/>
      <c r="G26" s="28"/>
      <c r="H26" s="28"/>
      <c r="I26" s="28"/>
      <c r="J26" s="28"/>
      <c r="K26" s="30"/>
      <c r="L26" s="41" t="s">
        <v>130</v>
      </c>
      <c r="M26" s="40" t="s">
        <v>131</v>
      </c>
      <c r="N26" s="9" t="s">
        <v>132</v>
      </c>
    </row>
    <row r="27" customFormat="false" ht="30" hidden="false" customHeight="true" outlineLevel="0" collapsed="false">
      <c r="A27" s="13" t="s">
        <v>26</v>
      </c>
      <c r="B27" s="28"/>
      <c r="C27" s="28"/>
      <c r="D27" s="28"/>
      <c r="E27" s="28"/>
      <c r="F27" s="28"/>
      <c r="G27" s="28"/>
      <c r="H27" s="28"/>
      <c r="I27" s="28"/>
      <c r="J27" s="28"/>
      <c r="K27" s="38" t="s">
        <v>123</v>
      </c>
      <c r="L27" s="41" t="s">
        <v>133</v>
      </c>
      <c r="M27" s="40" t="s">
        <v>127</v>
      </c>
      <c r="N27" s="9" t="s">
        <v>134</v>
      </c>
    </row>
    <row r="28" customFormat="false" ht="30" hidden="false" customHeight="true" outlineLevel="0" collapsed="false">
      <c r="A28" s="13" t="s">
        <v>26</v>
      </c>
      <c r="B28" s="28"/>
      <c r="C28" s="28"/>
      <c r="D28" s="28"/>
      <c r="E28" s="28"/>
      <c r="F28" s="28"/>
      <c r="G28" s="28"/>
      <c r="H28" s="38" t="s">
        <v>123</v>
      </c>
      <c r="I28" s="28"/>
      <c r="J28" s="28"/>
      <c r="K28" s="41" t="s">
        <v>130</v>
      </c>
      <c r="L28" s="41" t="s">
        <v>130</v>
      </c>
      <c r="M28" s="41" t="s">
        <v>130</v>
      </c>
      <c r="N28" s="9" t="s">
        <v>135</v>
      </c>
    </row>
    <row r="29" customFormat="false" ht="30" hidden="false" customHeight="true" outlineLevel="0" collapsed="false">
      <c r="A29" s="11" t="s">
        <v>22</v>
      </c>
      <c r="B29" s="28"/>
      <c r="C29" s="28"/>
      <c r="D29" s="28"/>
      <c r="E29" s="28"/>
      <c r="F29" s="28"/>
      <c r="G29" s="28"/>
      <c r="H29" s="28"/>
      <c r="I29" s="38" t="s">
        <v>123</v>
      </c>
      <c r="J29" s="28"/>
      <c r="K29" s="30"/>
      <c r="L29" s="40" t="s">
        <v>127</v>
      </c>
      <c r="M29" s="41" t="s">
        <v>130</v>
      </c>
      <c r="N29" s="9" t="s">
        <v>136</v>
      </c>
    </row>
    <row r="30" customFormat="false" ht="30" hidden="false" customHeight="true" outlineLevel="0" collapsed="false">
      <c r="A30" s="11" t="s">
        <v>22</v>
      </c>
      <c r="B30" s="28"/>
      <c r="C30" s="28"/>
      <c r="D30" s="28"/>
      <c r="E30" s="28"/>
      <c r="F30" s="28"/>
      <c r="G30" s="40" t="s">
        <v>127</v>
      </c>
      <c r="H30" s="40" t="s">
        <v>127</v>
      </c>
      <c r="I30" s="40" t="s">
        <v>127</v>
      </c>
      <c r="J30" s="28"/>
      <c r="K30" s="30"/>
      <c r="L30" s="30"/>
      <c r="M30" s="30"/>
      <c r="N30" s="9" t="s">
        <v>137</v>
      </c>
    </row>
    <row r="31" customFormat="false" ht="30" hidden="false" customHeight="true" outlineLevel="0" collapsed="false">
      <c r="A31" s="11" t="s">
        <v>22</v>
      </c>
      <c r="B31" s="28"/>
      <c r="C31" s="28"/>
      <c r="D31" s="28"/>
      <c r="E31" s="28"/>
      <c r="F31" s="28"/>
      <c r="G31" s="28"/>
      <c r="H31" s="28"/>
      <c r="I31" s="28"/>
      <c r="J31" s="28"/>
      <c r="K31" s="30"/>
      <c r="L31" s="30"/>
      <c r="M31" s="30"/>
      <c r="N31" s="9" t="s">
        <v>138</v>
      </c>
    </row>
    <row r="33" customFormat="false" ht="15" hidden="false" customHeight="true" outlineLevel="0" collapsed="false">
      <c r="A33" s="2" t="s">
        <v>139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10">
    <mergeCell ref="A2:N2"/>
    <mergeCell ref="B5:D5"/>
    <mergeCell ref="E5:G5"/>
    <mergeCell ref="H5:J5"/>
    <mergeCell ref="K5:M5"/>
    <mergeCell ref="B20:D20"/>
    <mergeCell ref="E20:G20"/>
    <mergeCell ref="H20:J20"/>
    <mergeCell ref="K20:M20"/>
    <mergeCell ref="A33: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5" min="4" style="0" width="22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140</v>
      </c>
    </row>
    <row r="2" customFormat="false" ht="30" hidden="false" customHeight="true" outlineLevel="0" collapsed="false">
      <c r="A2" s="2" t="s">
        <v>141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7" t="s">
        <v>142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</row>
    <row r="5" customFormat="false" ht="30" hidden="false" customHeight="true" outlineLevel="0" collapsed="false">
      <c r="A5" s="20" t="s">
        <v>148</v>
      </c>
      <c r="B5" s="9" t="s">
        <v>4</v>
      </c>
      <c r="C5" s="9" t="s">
        <v>149</v>
      </c>
      <c r="D5" s="9" t="s">
        <v>150</v>
      </c>
      <c r="E5" s="9" t="s">
        <v>151</v>
      </c>
      <c r="F5" s="9" t="s">
        <v>152</v>
      </c>
    </row>
    <row r="6" customFormat="false" ht="30" hidden="false" customHeight="true" outlineLevel="0" collapsed="false">
      <c r="A6" s="20" t="s">
        <v>153</v>
      </c>
      <c r="B6" s="9" t="s">
        <v>4</v>
      </c>
      <c r="C6" s="9" t="s">
        <v>154</v>
      </c>
      <c r="D6" s="9" t="s">
        <v>155</v>
      </c>
      <c r="E6" s="9" t="s">
        <v>151</v>
      </c>
      <c r="F6" s="9" t="s">
        <v>156</v>
      </c>
    </row>
    <row r="7" customFormat="false" ht="30" hidden="false" customHeight="true" outlineLevel="0" collapsed="false">
      <c r="A7" s="20" t="s">
        <v>157</v>
      </c>
      <c r="B7" s="9" t="s">
        <v>4</v>
      </c>
      <c r="C7" s="9" t="s">
        <v>154</v>
      </c>
      <c r="D7" s="9" t="s">
        <v>158</v>
      </c>
      <c r="E7" s="9" t="s">
        <v>151</v>
      </c>
      <c r="F7" s="9" t="s">
        <v>159</v>
      </c>
    </row>
    <row r="8" customFormat="false" ht="30" hidden="false" customHeight="true" outlineLevel="0" collapsed="false">
      <c r="A8" s="20" t="s">
        <v>160</v>
      </c>
      <c r="B8" s="9" t="s">
        <v>161</v>
      </c>
      <c r="C8" s="9" t="s">
        <v>162</v>
      </c>
      <c r="D8" s="9" t="s">
        <v>162</v>
      </c>
      <c r="E8" s="9" t="s">
        <v>162</v>
      </c>
      <c r="F8" s="9" t="s">
        <v>163</v>
      </c>
    </row>
    <row r="9" customFormat="false" ht="30" hidden="false" customHeight="true" outlineLevel="0" collapsed="false">
      <c r="A9" s="20" t="s">
        <v>164</v>
      </c>
      <c r="B9" s="9" t="s">
        <v>4</v>
      </c>
      <c r="C9" s="9" t="s">
        <v>165</v>
      </c>
      <c r="D9" s="9" t="s">
        <v>150</v>
      </c>
      <c r="E9" s="9" t="s">
        <v>166</v>
      </c>
      <c r="F9" s="9" t="s">
        <v>167</v>
      </c>
    </row>
    <row r="10" customFormat="false" ht="30" hidden="false" customHeight="true" outlineLevel="0" collapsed="false">
      <c r="A10" s="20" t="s">
        <v>168</v>
      </c>
      <c r="B10" s="9" t="s">
        <v>4</v>
      </c>
      <c r="C10" s="9" t="s">
        <v>169</v>
      </c>
      <c r="D10" s="9" t="s">
        <v>170</v>
      </c>
      <c r="E10" s="9" t="s">
        <v>171</v>
      </c>
      <c r="F10" s="9" t="s">
        <v>172</v>
      </c>
    </row>
    <row r="11" customFormat="false" ht="30" hidden="false" customHeight="true" outlineLevel="0" collapsed="false">
      <c r="A11" s="20" t="s">
        <v>173</v>
      </c>
      <c r="B11" s="9" t="s">
        <v>6</v>
      </c>
      <c r="C11" s="9" t="s">
        <v>174</v>
      </c>
      <c r="D11" s="9" t="s">
        <v>170</v>
      </c>
      <c r="E11" s="9" t="s">
        <v>71</v>
      </c>
      <c r="F11" s="9" t="s">
        <v>172</v>
      </c>
    </row>
    <row r="12" customFormat="false" ht="30" hidden="false" customHeight="true" outlineLevel="0" collapsed="false">
      <c r="A12" s="20" t="s">
        <v>175</v>
      </c>
      <c r="B12" s="9" t="s">
        <v>6</v>
      </c>
      <c r="C12" s="9" t="s">
        <v>176</v>
      </c>
      <c r="D12" s="9" t="s">
        <v>170</v>
      </c>
      <c r="E12" s="9" t="s">
        <v>71</v>
      </c>
      <c r="F12" s="9" t="s">
        <v>172</v>
      </c>
    </row>
    <row r="13" customFormat="false" ht="30" hidden="false" customHeight="true" outlineLevel="0" collapsed="false">
      <c r="A13" s="20" t="s">
        <v>177</v>
      </c>
      <c r="B13" s="9" t="s">
        <v>10</v>
      </c>
      <c r="C13" s="9" t="s">
        <v>10</v>
      </c>
      <c r="D13" s="9" t="s">
        <v>170</v>
      </c>
      <c r="E13" s="9" t="s">
        <v>171</v>
      </c>
      <c r="F13" s="9" t="s">
        <v>172</v>
      </c>
    </row>
    <row r="14" customFormat="false" ht="30" hidden="false" customHeight="true" outlineLevel="0" collapsed="false">
      <c r="A14" s="20" t="s">
        <v>178</v>
      </c>
      <c r="B14" s="9" t="s">
        <v>10</v>
      </c>
      <c r="C14" s="9" t="s">
        <v>10</v>
      </c>
      <c r="D14" s="9" t="s">
        <v>179</v>
      </c>
      <c r="E14" s="9" t="s">
        <v>180</v>
      </c>
      <c r="F14" s="9" t="s">
        <v>181</v>
      </c>
    </row>
    <row r="15" customFormat="false" ht="30" hidden="false" customHeight="true" outlineLevel="0" collapsed="false">
      <c r="A15" s="20" t="s">
        <v>182</v>
      </c>
      <c r="B15" s="9" t="s">
        <v>10</v>
      </c>
      <c r="C15" s="9" t="s">
        <v>10</v>
      </c>
      <c r="D15" s="9" t="s">
        <v>150</v>
      </c>
      <c r="E15" s="9" t="s">
        <v>183</v>
      </c>
      <c r="F15" s="9" t="s">
        <v>184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185</v>
      </c>
    </row>
    <row r="2" customFormat="false" ht="30" hidden="false" customHeight="true" outlineLevel="0" collapsed="false">
      <c r="A2" s="2" t="s">
        <v>186</v>
      </c>
      <c r="B2" s="2"/>
      <c r="C2" s="2"/>
      <c r="D2" s="2"/>
    </row>
    <row r="4" customFormat="false" ht="15" hidden="false" customHeight="false" outlineLevel="0" collapsed="false">
      <c r="A4" s="7" t="s">
        <v>187</v>
      </c>
      <c r="B4" s="7" t="s">
        <v>188</v>
      </c>
      <c r="C4" s="7" t="s">
        <v>189</v>
      </c>
      <c r="D4" s="7" t="s">
        <v>103</v>
      </c>
    </row>
    <row r="5" customFormat="false" ht="30" hidden="false" customHeight="true" outlineLevel="0" collapsed="false">
      <c r="A5" s="20" t="s">
        <v>71</v>
      </c>
      <c r="B5" s="9" t="s">
        <v>190</v>
      </c>
      <c r="C5" s="42" t="s">
        <v>191</v>
      </c>
      <c r="D5" s="9" t="s">
        <v>192</v>
      </c>
    </row>
    <row r="6" customFormat="false" ht="30" hidden="false" customHeight="true" outlineLevel="0" collapsed="false">
      <c r="A6" s="20" t="s">
        <v>71</v>
      </c>
      <c r="B6" s="9" t="s">
        <v>193</v>
      </c>
      <c r="C6" s="42" t="s">
        <v>194</v>
      </c>
      <c r="D6" s="9" t="s">
        <v>195</v>
      </c>
    </row>
    <row r="7" customFormat="false" ht="30" hidden="false" customHeight="true" outlineLevel="0" collapsed="false">
      <c r="A7" s="20" t="s">
        <v>4</v>
      </c>
      <c r="B7" s="9" t="s">
        <v>196</v>
      </c>
      <c r="C7" s="42" t="s">
        <v>197</v>
      </c>
      <c r="D7" s="9" t="s">
        <v>198</v>
      </c>
    </row>
    <row r="8" customFormat="false" ht="30" hidden="false" customHeight="true" outlineLevel="0" collapsed="false">
      <c r="A8" s="20" t="s">
        <v>4</v>
      </c>
      <c r="B8" s="9" t="s">
        <v>199</v>
      </c>
      <c r="C8" s="42" t="s">
        <v>166</v>
      </c>
      <c r="D8" s="9" t="s">
        <v>200</v>
      </c>
    </row>
    <row r="9" customFormat="false" ht="30" hidden="false" customHeight="true" outlineLevel="0" collapsed="false">
      <c r="A9" s="20" t="s">
        <v>6</v>
      </c>
      <c r="B9" s="9" t="s">
        <v>201</v>
      </c>
      <c r="C9" s="42" t="s">
        <v>202</v>
      </c>
      <c r="D9" s="9" t="s">
        <v>203</v>
      </c>
    </row>
    <row r="10" customFormat="false" ht="30" hidden="false" customHeight="true" outlineLevel="0" collapsed="false">
      <c r="A10" s="20" t="s">
        <v>6</v>
      </c>
      <c r="B10" s="9" t="s">
        <v>204</v>
      </c>
      <c r="C10" s="42" t="s">
        <v>171</v>
      </c>
      <c r="D10" s="9" t="s">
        <v>205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6" min="16" style="0" width="13"/>
    <col collapsed="false" customWidth="true" hidden="false" outlineLevel="0" max="17" min="17" style="0" width="8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8"/>
  </cols>
  <sheetData>
    <row r="1" customFormat="false" ht="19.7" hidden="false" customHeight="false" outlineLevel="0" collapsed="false">
      <c r="A1" s="1" t="s">
        <v>206</v>
      </c>
    </row>
    <row r="2" customFormat="false" ht="30" hidden="false" customHeight="true" outlineLevel="0" collapsed="false">
      <c r="A2" s="2" t="s">
        <v>207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5" t="s">
        <v>208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57.75" hidden="false" customHeight="true" outlineLevel="0" collapsed="false">
      <c r="A5" s="7" t="s">
        <v>15</v>
      </c>
      <c r="B5" s="7" t="s">
        <v>209</v>
      </c>
      <c r="C5" s="7" t="s">
        <v>210</v>
      </c>
      <c r="D5" s="7" t="s">
        <v>211</v>
      </c>
      <c r="E5" s="7" t="s">
        <v>210</v>
      </c>
      <c r="F5" s="7" t="s">
        <v>212</v>
      </c>
      <c r="G5" s="7" t="s">
        <v>210</v>
      </c>
      <c r="H5" s="7" t="s">
        <v>213</v>
      </c>
      <c r="I5" s="7" t="s">
        <v>210</v>
      </c>
      <c r="J5" s="7" t="s">
        <v>214</v>
      </c>
      <c r="K5" s="7" t="s">
        <v>210</v>
      </c>
      <c r="L5" s="7" t="s">
        <v>215</v>
      </c>
      <c r="M5" s="7" t="s">
        <v>210</v>
      </c>
      <c r="N5" s="7" t="s">
        <v>216</v>
      </c>
      <c r="O5" s="7" t="s">
        <v>210</v>
      </c>
      <c r="P5" s="7" t="s">
        <v>217</v>
      </c>
      <c r="Q5" s="7" t="s">
        <v>210</v>
      </c>
      <c r="R5" s="7" t="s">
        <v>218</v>
      </c>
      <c r="S5" s="7" t="s">
        <v>210</v>
      </c>
      <c r="T5" s="7" t="s">
        <v>219</v>
      </c>
      <c r="U5" s="7" t="s">
        <v>210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  <c r="J6" s="43"/>
      <c r="K6" s="44" t="str">
        <f aca="false">IF($J$16=0,"",J6/$J$16)</f>
        <v/>
      </c>
      <c r="L6" s="45" t="n">
        <f aca="false">F6+H6+J6</f>
        <v>0</v>
      </c>
      <c r="M6" s="44" t="str">
        <f aca="false">IF($L$16=0,"",L6/$L$16)</f>
        <v/>
      </c>
      <c r="N6" s="43"/>
      <c r="O6" s="44" t="str">
        <f aca="false">IF($N$16=0,"",N6/$N$16)</f>
        <v/>
      </c>
      <c r="P6" s="43"/>
      <c r="Q6" s="44" t="str">
        <f aca="false">IF($P$16=0,"",P6/$P$16)</f>
        <v/>
      </c>
      <c r="R6" s="43"/>
      <c r="S6" s="44" t="str">
        <f aca="false">IF($R$16=0,"",R6/$R$16)</f>
        <v/>
      </c>
      <c r="T6" s="45" t="n">
        <f aca="false">N6+P6+R6</f>
        <v>0</v>
      </c>
      <c r="U6" s="44" t="str">
        <f aca="false">IF($T$16=0,"",T6/$T$16)</f>
        <v/>
      </c>
    </row>
    <row r="7" customFormat="false" ht="15" hidden="false" customHeight="false" outlineLevel="0" collapsed="false">
      <c r="A7" s="8" t="s">
        <v>220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  <c r="J7" s="43"/>
      <c r="K7" s="44" t="str">
        <f aca="false">IF($J$16=0,"",J7/$J$16)</f>
        <v/>
      </c>
      <c r="L7" s="45" t="n">
        <f aca="false">F7+H7+J7</f>
        <v>0</v>
      </c>
      <c r="M7" s="44" t="str">
        <f aca="false">IF($L$16=0,"",L7/$L$16)</f>
        <v/>
      </c>
      <c r="N7" s="43"/>
      <c r="O7" s="44" t="str">
        <f aca="false">IF($N$16=0,"",N7/$N$16)</f>
        <v/>
      </c>
      <c r="P7" s="43"/>
      <c r="Q7" s="44" t="str">
        <f aca="false">IF($P$16=0,"",P7/$P$16)</f>
        <v/>
      </c>
      <c r="R7" s="43"/>
      <c r="S7" s="44" t="str">
        <f aca="false">IF($R$16=0,"",R7/$R$16)</f>
        <v/>
      </c>
      <c r="T7" s="45" t="n">
        <f aca="false">N7+P7+R7</f>
        <v>0</v>
      </c>
      <c r="U7" s="44" t="str">
        <f aca="false">IF($T$16=0,"",T7/$T$16)</f>
        <v/>
      </c>
    </row>
    <row r="8" customFormat="false" ht="15" hidden="false" customHeight="false" outlineLevel="0" collapsed="false">
      <c r="A8" s="8" t="s">
        <v>221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  <c r="J8" s="43"/>
      <c r="K8" s="44" t="str">
        <f aca="false">IF($J$16=0,"",J8/$J$16)</f>
        <v/>
      </c>
      <c r="L8" s="45" t="n">
        <f aca="false">F8+H8+J8</f>
        <v>0</v>
      </c>
      <c r="M8" s="44" t="str">
        <f aca="false">IF($L$16=0,"",L8/$L$16)</f>
        <v/>
      </c>
      <c r="N8" s="43"/>
      <c r="O8" s="44" t="str">
        <f aca="false">IF($N$16=0,"",N8/$N$16)</f>
        <v/>
      </c>
      <c r="P8" s="43"/>
      <c r="Q8" s="44" t="str">
        <f aca="false">IF($P$16=0,"",P8/$P$16)</f>
        <v/>
      </c>
      <c r="R8" s="43"/>
      <c r="S8" s="44" t="str">
        <f aca="false">IF($R$16=0,"",R8/$R$16)</f>
        <v/>
      </c>
      <c r="T8" s="45" t="n">
        <f aca="false">N8+P8+R8</f>
        <v>0</v>
      </c>
      <c r="U8" s="44" t="str">
        <f aca="false">IF($T$16=0,"",T8/$T$16)</f>
        <v/>
      </c>
    </row>
    <row r="9" customFormat="false" ht="15" hidden="false" customHeight="false" outlineLevel="0" collapsed="false">
      <c r="A9" s="8" t="s">
        <v>222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  <c r="J9" s="43"/>
      <c r="K9" s="44" t="str">
        <f aca="false">IF($J$16=0,"",J9/$J$16)</f>
        <v/>
      </c>
      <c r="L9" s="45" t="n">
        <f aca="false">F9+H9+J9</f>
        <v>0</v>
      </c>
      <c r="M9" s="44" t="str">
        <f aca="false">IF($L$16=0,"",L9/$L$16)</f>
        <v/>
      </c>
      <c r="N9" s="43"/>
      <c r="O9" s="44" t="str">
        <f aca="false">IF($N$16=0,"",N9/$N$16)</f>
        <v/>
      </c>
      <c r="P9" s="43"/>
      <c r="Q9" s="44" t="str">
        <f aca="false">IF($P$16=0,"",P9/$P$16)</f>
        <v/>
      </c>
      <c r="R9" s="43"/>
      <c r="S9" s="44" t="str">
        <f aca="false">IF($R$16=0,"",R9/$R$16)</f>
        <v/>
      </c>
      <c r="T9" s="45" t="n">
        <f aca="false">N9+P9+R9</f>
        <v>0</v>
      </c>
      <c r="U9" s="44" t="str">
        <f aca="false">IF($T$16=0,"",T9/$T$16)</f>
        <v/>
      </c>
    </row>
    <row r="10" customFormat="false" ht="15" hidden="false" customHeight="false" outlineLevel="0" collapsed="false">
      <c r="A10" s="10" t="s">
        <v>223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  <c r="J10" s="43"/>
      <c r="K10" s="44" t="str">
        <f aca="false">IF($J$16=0,"",J10/$J$16)</f>
        <v/>
      </c>
      <c r="L10" s="45" t="n">
        <f aca="false">F10+H10+J10</f>
        <v>0</v>
      </c>
      <c r="M10" s="44" t="str">
        <f aca="false">IF($L$16=0,"",L10/$L$16)</f>
        <v/>
      </c>
      <c r="N10" s="43"/>
      <c r="O10" s="44" t="str">
        <f aca="false">IF($N$16=0,"",N10/$N$16)</f>
        <v/>
      </c>
      <c r="P10" s="43"/>
      <c r="Q10" s="44" t="str">
        <f aca="false">IF($P$16=0,"",P10/$P$16)</f>
        <v/>
      </c>
      <c r="R10" s="43"/>
      <c r="S10" s="44" t="str">
        <f aca="false">IF($R$16=0,"",R10/$R$16)</f>
        <v/>
      </c>
      <c r="T10" s="45" t="n">
        <f aca="false">N10+P10+R10</f>
        <v>0</v>
      </c>
      <c r="U10" s="44" t="str">
        <f aca="false">IF($T$16=0,"",T10/$T$16)</f>
        <v/>
      </c>
    </row>
    <row r="11" customFormat="false" ht="15" hidden="false" customHeight="false" outlineLevel="0" collapsed="false">
      <c r="A11" s="10" t="s">
        <v>224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  <c r="J11" s="43"/>
      <c r="K11" s="44" t="str">
        <f aca="false">IF($J$16=0,"",J11/$J$16)</f>
        <v/>
      </c>
      <c r="L11" s="45" t="n">
        <f aca="false">F11+H11+J11</f>
        <v>0</v>
      </c>
      <c r="M11" s="44" t="str">
        <f aca="false">IF($L$16=0,"",L11/$L$16)</f>
        <v/>
      </c>
      <c r="N11" s="43"/>
      <c r="O11" s="44" t="str">
        <f aca="false">IF($N$16=0,"",N11/$N$16)</f>
        <v/>
      </c>
      <c r="P11" s="43"/>
      <c r="Q11" s="44" t="str">
        <f aca="false">IF($P$16=0,"",P11/$P$16)</f>
        <v/>
      </c>
      <c r="R11" s="43"/>
      <c r="S11" s="44" t="str">
        <f aca="false">IF($R$16=0,"",R11/$R$16)</f>
        <v/>
      </c>
      <c r="T11" s="45" t="n">
        <f aca="false">N11+P11+R11</f>
        <v>0</v>
      </c>
      <c r="U11" s="44" t="str">
        <f aca="false">IF($T$16=0,"",T11/$T$16)</f>
        <v/>
      </c>
    </row>
    <row r="12" customFormat="false" ht="15" hidden="false" customHeight="false" outlineLevel="0" collapsed="false">
      <c r="A12" s="10" t="s">
        <v>225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  <c r="J12" s="43"/>
      <c r="K12" s="44" t="str">
        <f aca="false">IF($J$16=0,"",J12/$J$16)</f>
        <v/>
      </c>
      <c r="L12" s="45" t="n">
        <f aca="false">F12+H12+J12</f>
        <v>0</v>
      </c>
      <c r="M12" s="44" t="str">
        <f aca="false">IF($L$16=0,"",L12/$L$16)</f>
        <v/>
      </c>
      <c r="N12" s="43"/>
      <c r="O12" s="44" t="str">
        <f aca="false">IF($N$16=0,"",N12/$N$16)</f>
        <v/>
      </c>
      <c r="P12" s="43"/>
      <c r="Q12" s="44" t="str">
        <f aca="false">IF($P$16=0,"",P12/$P$16)</f>
        <v/>
      </c>
      <c r="R12" s="43"/>
      <c r="S12" s="44" t="str">
        <f aca="false">IF($R$16=0,"",R12/$R$16)</f>
        <v/>
      </c>
      <c r="T12" s="45" t="n">
        <f aca="false">N12+P12+R12</f>
        <v>0</v>
      </c>
      <c r="U12" s="44" t="str">
        <f aca="false">IF($T$16=0,"",T12/$T$16)</f>
        <v/>
      </c>
    </row>
    <row r="13" customFormat="false" ht="15" hidden="false" customHeight="false" outlineLevel="0" collapsed="false">
      <c r="A13" s="11" t="s">
        <v>226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  <c r="J13" s="43"/>
      <c r="K13" s="44" t="str">
        <f aca="false">IF($J$16=0,"",J13/$J$16)</f>
        <v/>
      </c>
      <c r="L13" s="45" t="n">
        <f aca="false">F13+H13+J13</f>
        <v>0</v>
      </c>
      <c r="M13" s="44" t="str">
        <f aca="false">IF($L$16=0,"",L13/$L$16)</f>
        <v/>
      </c>
      <c r="N13" s="43"/>
      <c r="O13" s="44" t="str">
        <f aca="false">IF($N$16=0,"",N13/$N$16)</f>
        <v/>
      </c>
      <c r="P13" s="43"/>
      <c r="Q13" s="44" t="str">
        <f aca="false">IF($P$16=0,"",P13/$P$16)</f>
        <v/>
      </c>
      <c r="R13" s="43"/>
      <c r="S13" s="44" t="str">
        <f aca="false">IF($R$16=0,"",R13/$R$16)</f>
        <v/>
      </c>
      <c r="T13" s="45" t="n">
        <f aca="false">N13+P13+R13</f>
        <v>0</v>
      </c>
      <c r="U13" s="44" t="str">
        <f aca="false">IF($T$16=0,"",T13/$T$16)</f>
        <v/>
      </c>
    </row>
    <row r="14" customFormat="false" ht="15" hidden="false" customHeight="false" outlineLevel="0" collapsed="false">
      <c r="A14" s="11" t="s">
        <v>227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  <c r="J14" s="43"/>
      <c r="K14" s="44" t="str">
        <f aca="false">IF($J$16=0,"",J14/$J$16)</f>
        <v/>
      </c>
      <c r="L14" s="45" t="n">
        <f aca="false">F14+H14+J14</f>
        <v>0</v>
      </c>
      <c r="M14" s="44" t="str">
        <f aca="false">IF($L$16=0,"",L14/$L$16)</f>
        <v/>
      </c>
      <c r="N14" s="43"/>
      <c r="O14" s="44" t="str">
        <f aca="false">IF($N$16=0,"",N14/$N$16)</f>
        <v/>
      </c>
      <c r="P14" s="43"/>
      <c r="Q14" s="44" t="str">
        <f aca="false">IF($P$16=0,"",P14/$P$16)</f>
        <v/>
      </c>
      <c r="R14" s="43"/>
      <c r="S14" s="44" t="str">
        <f aca="false">IF($R$16=0,"",R14/$R$16)</f>
        <v/>
      </c>
      <c r="T14" s="45" t="n">
        <f aca="false">N14+P14+R14</f>
        <v>0</v>
      </c>
      <c r="U14" s="44" t="str">
        <f aca="false">IF($T$16=0,"",T14/$T$16)</f>
        <v/>
      </c>
    </row>
    <row r="15" customFormat="false" ht="15" hidden="false" customHeight="false" outlineLevel="0" collapsed="false">
      <c r="A15" s="11" t="s">
        <v>228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  <c r="J15" s="43"/>
      <c r="K15" s="44" t="str">
        <f aca="false">IF($J$16=0,"",J15/$J$16)</f>
        <v/>
      </c>
      <c r="L15" s="45" t="n">
        <f aca="false">F15+H15+J15</f>
        <v>0</v>
      </c>
      <c r="M15" s="44" t="str">
        <f aca="false">IF($L$16=0,"",L15/$L$16)</f>
        <v/>
      </c>
      <c r="N15" s="43"/>
      <c r="O15" s="44" t="str">
        <f aca="false">IF($N$16=0,"",N15/$N$16)</f>
        <v/>
      </c>
      <c r="P15" s="43"/>
      <c r="Q15" s="44" t="str">
        <f aca="false">IF($P$16=0,"",P15/$P$16)</f>
        <v/>
      </c>
      <c r="R15" s="43"/>
      <c r="S15" s="44" t="str">
        <f aca="false">IF($R$16=0,"",R15/$R$16)</f>
        <v/>
      </c>
      <c r="T15" s="45" t="n">
        <f aca="false">N15+P15+R15</f>
        <v>0</v>
      </c>
      <c r="U15" s="44" t="str">
        <f aca="false">IF($T$16=0,"",T15/$T$16)</f>
        <v/>
      </c>
    </row>
    <row r="16" customFormat="false" ht="15" hidden="false" customHeight="false" outlineLevel="0" collapsed="false">
      <c r="A16" s="22" t="s">
        <v>229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  <c r="J16" s="46" t="n">
        <f aca="false">SUM(J6:J15)</f>
        <v>0</v>
      </c>
      <c r="L16" s="46" t="n">
        <f aca="false">SUM(L6:L15)</f>
        <v>0</v>
      </c>
      <c r="N16" s="46" t="n">
        <f aca="false">SUM(N6:N15)</f>
        <v>0</v>
      </c>
      <c r="P16" s="46" t="n">
        <f aca="false">SUM(P6:P15)</f>
        <v>0</v>
      </c>
      <c r="R16" s="46" t="n">
        <f aca="false">SUM(R6:R15)</f>
        <v>0</v>
      </c>
      <c r="T16" s="46" t="n">
        <f aca="false">SUM(T6:T15)</f>
        <v>0</v>
      </c>
    </row>
    <row r="18" customFormat="false" ht="15" hidden="false" customHeight="false" outlineLevel="0" collapsed="false">
      <c r="A18" s="5" t="s">
        <v>230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57.75" hidden="false" customHeight="true" outlineLevel="0" collapsed="false">
      <c r="A19" s="7" t="s">
        <v>15</v>
      </c>
      <c r="B19" s="7" t="s">
        <v>209</v>
      </c>
      <c r="C19" s="7" t="s">
        <v>210</v>
      </c>
      <c r="D19" s="7" t="s">
        <v>211</v>
      </c>
      <c r="E19" s="7" t="s">
        <v>210</v>
      </c>
      <c r="F19" s="7" t="s">
        <v>212</v>
      </c>
      <c r="G19" s="7" t="s">
        <v>210</v>
      </c>
      <c r="H19" s="7" t="s">
        <v>213</v>
      </c>
      <c r="I19" s="7" t="s">
        <v>210</v>
      </c>
      <c r="J19" s="7" t="s">
        <v>214</v>
      </c>
      <c r="K19" s="7" t="s">
        <v>210</v>
      </c>
      <c r="L19" s="7" t="s">
        <v>215</v>
      </c>
      <c r="M19" s="7" t="s">
        <v>210</v>
      </c>
      <c r="N19" s="7" t="s">
        <v>216</v>
      </c>
      <c r="O19" s="7" t="s">
        <v>210</v>
      </c>
      <c r="P19" s="7" t="s">
        <v>217</v>
      </c>
      <c r="Q19" s="7" t="s">
        <v>210</v>
      </c>
      <c r="R19" s="7" t="s">
        <v>218</v>
      </c>
      <c r="S19" s="7" t="s">
        <v>210</v>
      </c>
      <c r="T19" s="7" t="s">
        <v>219</v>
      </c>
      <c r="U19" s="7" t="s">
        <v>210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  <c r="J20" s="43"/>
      <c r="K20" s="44" t="str">
        <f aca="false">IF($J$23=0,"",J20/$J$23)</f>
        <v/>
      </c>
      <c r="L20" s="45" t="n">
        <f aca="false">F20+H20+J20</f>
        <v>0</v>
      </c>
      <c r="M20" s="44" t="str">
        <f aca="false">IF($L$23=0,"",L20/$L$23)</f>
        <v/>
      </c>
      <c r="N20" s="43"/>
      <c r="O20" s="44" t="str">
        <f aca="false">IF($N$23=0,"",N20/$N$23)</f>
        <v/>
      </c>
      <c r="P20" s="43"/>
      <c r="Q20" s="44" t="str">
        <f aca="false">IF($P$23=0,"",P20/$P$23)</f>
        <v/>
      </c>
      <c r="R20" s="43"/>
      <c r="S20" s="44" t="str">
        <f aca="false">IF($R$23=0,"",R20/$R$23)</f>
        <v/>
      </c>
      <c r="T20" s="45" t="n">
        <f aca="false">N20+P20+R20</f>
        <v>0</v>
      </c>
      <c r="U20" s="44" t="str">
        <f aca="false">IF($T$23=0,"",T20/$T$23)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  <c r="J21" s="43"/>
      <c r="K21" s="44" t="str">
        <f aca="false">IF($J$23=0,"",J21/$J$23)</f>
        <v/>
      </c>
      <c r="L21" s="45" t="n">
        <f aca="false">F21+H21+J21</f>
        <v>0</v>
      </c>
      <c r="M21" s="44" t="str">
        <f aca="false">IF($L$23=0,"",L21/$L$23)</f>
        <v/>
      </c>
      <c r="N21" s="43"/>
      <c r="O21" s="44" t="str">
        <f aca="false">IF($N$23=0,"",N21/$N$23)</f>
        <v/>
      </c>
      <c r="P21" s="43"/>
      <c r="Q21" s="44" t="str">
        <f aca="false">IF($P$23=0,"",P21/$P$23)</f>
        <v/>
      </c>
      <c r="R21" s="43"/>
      <c r="S21" s="44" t="str">
        <f aca="false">IF($R$23=0,"",R21/$R$23)</f>
        <v/>
      </c>
      <c r="T21" s="45" t="n">
        <f aca="false">N21+P21+R21</f>
        <v>0</v>
      </c>
      <c r="U21" s="44" t="str">
        <f aca="false">IF($T$23=0,"",T21/$T$23)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  <c r="J22" s="43"/>
      <c r="K22" s="44" t="str">
        <f aca="false">IF($J$23=0,"",J22/$J$23)</f>
        <v/>
      </c>
      <c r="L22" s="45" t="n">
        <f aca="false">F22+H22+J22</f>
        <v>0</v>
      </c>
      <c r="M22" s="44" t="str">
        <f aca="false">IF($L$23=0,"",L22/$L$23)</f>
        <v/>
      </c>
      <c r="N22" s="43"/>
      <c r="O22" s="44" t="str">
        <f aca="false">IF($N$23=0,"",N22/$N$23)</f>
        <v/>
      </c>
      <c r="P22" s="43"/>
      <c r="Q22" s="44" t="str">
        <f aca="false">IF($P$23=0,"",P22/$P$23)</f>
        <v/>
      </c>
      <c r="R22" s="43"/>
      <c r="S22" s="44" t="str">
        <f aca="false">IF($R$23=0,"",R22/$R$23)</f>
        <v/>
      </c>
      <c r="T22" s="45" t="n">
        <f aca="false">N22+P22+R22</f>
        <v>0</v>
      </c>
      <c r="U22" s="44" t="str">
        <f aca="false">IF($T$23=0,"",T22/$T$23)</f>
        <v/>
      </c>
    </row>
    <row r="23" customFormat="false" ht="15" hidden="false" customHeight="false" outlineLevel="0" collapsed="false">
      <c r="A23" s="22" t="s">
        <v>229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  <c r="J23" s="46" t="n">
        <f aca="false">SUM(J20:J22)</f>
        <v>0</v>
      </c>
      <c r="L23" s="46" t="n">
        <f aca="false">SUM(L20:L22)</f>
        <v>0</v>
      </c>
      <c r="N23" s="46" t="n">
        <f aca="false">SUM(N20:N22)</f>
        <v>0</v>
      </c>
      <c r="P23" s="46" t="n">
        <f aca="false">SUM(P20:P22)</f>
        <v>0</v>
      </c>
      <c r="R23" s="46" t="n">
        <f aca="false">SUM(R20:R22)</f>
        <v>0</v>
      </c>
      <c r="T23" s="46" t="n">
        <f aca="false">SUM(T20:T22)</f>
        <v>0</v>
      </c>
    </row>
    <row r="25" customFormat="false" ht="15" hidden="false" customHeight="false" outlineLevel="0" collapsed="false">
      <c r="A25" s="5" t="s">
        <v>231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57.75" hidden="false" customHeight="true" outlineLevel="0" collapsed="false">
      <c r="A26" s="7" t="s">
        <v>15</v>
      </c>
      <c r="B26" s="7" t="s">
        <v>209</v>
      </c>
      <c r="C26" s="7" t="s">
        <v>210</v>
      </c>
      <c r="D26" s="7" t="s">
        <v>211</v>
      </c>
      <c r="E26" s="7" t="s">
        <v>210</v>
      </c>
      <c r="F26" s="7" t="s">
        <v>212</v>
      </c>
      <c r="G26" s="7" t="s">
        <v>210</v>
      </c>
      <c r="H26" s="7" t="s">
        <v>213</v>
      </c>
      <c r="I26" s="7" t="s">
        <v>210</v>
      </c>
      <c r="J26" s="7" t="s">
        <v>214</v>
      </c>
      <c r="K26" s="7" t="s">
        <v>210</v>
      </c>
      <c r="L26" s="7" t="s">
        <v>215</v>
      </c>
      <c r="M26" s="7" t="s">
        <v>210</v>
      </c>
      <c r="N26" s="7" t="s">
        <v>216</v>
      </c>
      <c r="O26" s="7" t="s">
        <v>210</v>
      </c>
      <c r="P26" s="7" t="s">
        <v>217</v>
      </c>
      <c r="Q26" s="7" t="s">
        <v>210</v>
      </c>
      <c r="R26" s="7" t="s">
        <v>218</v>
      </c>
      <c r="S26" s="7" t="s">
        <v>210</v>
      </c>
      <c r="T26" s="7" t="s">
        <v>219</v>
      </c>
      <c r="U26" s="7" t="s">
        <v>210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  <c r="J27" s="43"/>
      <c r="K27" s="44" t="str">
        <f aca="false">IF($J$30=0,"",J27/$J$30)</f>
        <v/>
      </c>
      <c r="L27" s="45" t="n">
        <f aca="false">F27+H27+J27</f>
        <v>0</v>
      </c>
      <c r="M27" s="44" t="str">
        <f aca="false">IF($L$30=0,"",L27/$L$30)</f>
        <v/>
      </c>
      <c r="N27" s="43"/>
      <c r="O27" s="44" t="str">
        <f aca="false">IF($N$30=0,"",N27/$N$30)</f>
        <v/>
      </c>
      <c r="P27" s="43"/>
      <c r="Q27" s="44" t="str">
        <f aca="false">IF($P$30=0,"",P27/$P$30)</f>
        <v/>
      </c>
      <c r="R27" s="43"/>
      <c r="S27" s="44" t="str">
        <f aca="false">IF($R$30=0,"",R27/$R$30)</f>
        <v/>
      </c>
      <c r="T27" s="45" t="n">
        <f aca="false">N27+P27+R27</f>
        <v>0</v>
      </c>
      <c r="U27" s="44" t="str">
        <f aca="false">IF($T$30=0,"",T27/$T$30)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  <c r="J28" s="43"/>
      <c r="K28" s="44" t="str">
        <f aca="false">IF($J$30=0,"",J28/$J$30)</f>
        <v/>
      </c>
      <c r="L28" s="45" t="n">
        <f aca="false">F28+H28+J28</f>
        <v>0</v>
      </c>
      <c r="M28" s="44" t="str">
        <f aca="false">IF($L$30=0,"",L28/$L$30)</f>
        <v/>
      </c>
      <c r="N28" s="43"/>
      <c r="O28" s="44" t="str">
        <f aca="false">IF($N$30=0,"",N28/$N$30)</f>
        <v/>
      </c>
      <c r="P28" s="43"/>
      <c r="Q28" s="44" t="str">
        <f aca="false">IF($P$30=0,"",P28/$P$30)</f>
        <v/>
      </c>
      <c r="R28" s="43"/>
      <c r="S28" s="44" t="str">
        <f aca="false">IF($R$30=0,"",R28/$R$30)</f>
        <v/>
      </c>
      <c r="T28" s="45" t="n">
        <f aca="false">N28+P28+R28</f>
        <v>0</v>
      </c>
      <c r="U28" s="44" t="str">
        <f aca="false">IF($T$30=0,"",T28/$T$30)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  <c r="J29" s="43"/>
      <c r="K29" s="44" t="str">
        <f aca="false">IF($J$30=0,"",J29/$J$30)</f>
        <v/>
      </c>
      <c r="L29" s="45" t="n">
        <f aca="false">F29+H29+J29</f>
        <v>0</v>
      </c>
      <c r="M29" s="44" t="str">
        <f aca="false">IF($L$30=0,"",L29/$L$30)</f>
        <v/>
      </c>
      <c r="N29" s="43"/>
      <c r="O29" s="44" t="str">
        <f aca="false">IF($N$30=0,"",N29/$N$30)</f>
        <v/>
      </c>
      <c r="P29" s="43"/>
      <c r="Q29" s="44" t="str">
        <f aca="false">IF($P$30=0,"",P29/$P$30)</f>
        <v/>
      </c>
      <c r="R29" s="43"/>
      <c r="S29" s="44" t="str">
        <f aca="false">IF($R$30=0,"",R29/$R$30)</f>
        <v/>
      </c>
      <c r="T29" s="45" t="n">
        <f aca="false">N29+P29+R29</f>
        <v>0</v>
      </c>
      <c r="U29" s="44" t="str">
        <f aca="false">IF($T$30=0,"",T29/$T$30)</f>
        <v/>
      </c>
    </row>
    <row r="30" customFormat="false" ht="15" hidden="false" customHeight="false" outlineLevel="0" collapsed="false">
      <c r="A30" s="22" t="s">
        <v>229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  <c r="J30" s="46" t="n">
        <f aca="false">SUM(J27:J29)</f>
        <v>0</v>
      </c>
      <c r="L30" s="46" t="n">
        <f aca="false">SUM(L27:L29)</f>
        <v>0</v>
      </c>
      <c r="N30" s="46" t="n">
        <f aca="false">SUM(N27:N29)</f>
        <v>0</v>
      </c>
      <c r="P30" s="46" t="n">
        <f aca="false">SUM(P27:P29)</f>
        <v>0</v>
      </c>
      <c r="R30" s="46" t="n">
        <f aca="false">SUM(R27:R29)</f>
        <v>0</v>
      </c>
      <c r="T30" s="46" t="n">
        <f aca="false">SUM(T27:T29)</f>
        <v>0</v>
      </c>
    </row>
    <row r="32" customFormat="false" ht="15" hidden="false" customHeight="false" outlineLevel="0" collapsed="false">
      <c r="A32" s="5" t="s">
        <v>232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customFormat="false" ht="57.75" hidden="false" customHeight="true" outlineLevel="0" collapsed="false">
      <c r="A33" s="7" t="s">
        <v>233</v>
      </c>
      <c r="B33" s="7" t="s">
        <v>209</v>
      </c>
      <c r="C33" s="7" t="s">
        <v>210</v>
      </c>
      <c r="D33" s="7" t="s">
        <v>211</v>
      </c>
      <c r="E33" s="7" t="s">
        <v>210</v>
      </c>
      <c r="F33" s="7" t="s">
        <v>212</v>
      </c>
      <c r="G33" s="7" t="s">
        <v>210</v>
      </c>
      <c r="H33" s="7" t="s">
        <v>213</v>
      </c>
      <c r="I33" s="7" t="s">
        <v>210</v>
      </c>
      <c r="J33" s="7" t="s">
        <v>214</v>
      </c>
      <c r="K33" s="7" t="s">
        <v>210</v>
      </c>
      <c r="L33" s="7" t="s">
        <v>215</v>
      </c>
      <c r="M33" s="7" t="s">
        <v>210</v>
      </c>
      <c r="N33" s="7" t="s">
        <v>216</v>
      </c>
      <c r="O33" s="7" t="s">
        <v>210</v>
      </c>
      <c r="P33" s="7" t="s">
        <v>217</v>
      </c>
      <c r="Q33" s="7" t="s">
        <v>210</v>
      </c>
      <c r="R33" s="7" t="s">
        <v>218</v>
      </c>
      <c r="S33" s="7" t="s">
        <v>210</v>
      </c>
      <c r="T33" s="7" t="s">
        <v>219</v>
      </c>
      <c r="U33" s="7" t="s">
        <v>210</v>
      </c>
    </row>
    <row r="34" customFormat="false" ht="15" hidden="false" customHeight="false" outlineLevel="0" collapsed="false">
      <c r="A34" s="17" t="s">
        <v>234</v>
      </c>
      <c r="B34" s="43"/>
      <c r="C34" s="44" t="str">
        <f aca="false">IF($B$39=0,"",B34/$B$39)</f>
        <v/>
      </c>
      <c r="D34" s="43"/>
      <c r="E34" s="44" t="str">
        <f aca="false">IF($D$39=0,"",D34/$D$39)</f>
        <v/>
      </c>
      <c r="F34" s="43"/>
      <c r="G34" s="44" t="str">
        <f aca="false">IF($F$39=0,"",F34/$F$39)</f>
        <v/>
      </c>
      <c r="H34" s="43"/>
      <c r="I34" s="44" t="str">
        <f aca="false">IF($H$39=0,"",H34/$H$39)</f>
        <v/>
      </c>
      <c r="J34" s="43"/>
      <c r="K34" s="44" t="str">
        <f aca="false">IF($J$39=0,"",J34/$J$39)</f>
        <v/>
      </c>
      <c r="L34" s="45" t="n">
        <f aca="false">F34+H34+J34</f>
        <v>0</v>
      </c>
      <c r="M34" s="44" t="str">
        <f aca="false">IF($L$39=0,"",L34/$L$39)</f>
        <v/>
      </c>
      <c r="N34" s="43"/>
      <c r="O34" s="44" t="str">
        <f aca="false">IF($N$39=0,"",N34/$N$39)</f>
        <v/>
      </c>
      <c r="P34" s="43"/>
      <c r="Q34" s="44" t="str">
        <f aca="false">IF($P$39=0,"",P34/$P$39)</f>
        <v/>
      </c>
      <c r="R34" s="43"/>
      <c r="S34" s="44" t="str">
        <f aca="false">IF($R$39=0,"",R34/$R$39)</f>
        <v/>
      </c>
      <c r="T34" s="45" t="n">
        <f aca="false">N34+P34+R34</f>
        <v>0</v>
      </c>
      <c r="U34" s="44" t="str">
        <f aca="false">IF($T$39=0,"",T34/$T$39)</f>
        <v/>
      </c>
    </row>
    <row r="35" customFormat="false" ht="15" hidden="false" customHeight="false" outlineLevel="0" collapsed="false">
      <c r="A35" s="17" t="s">
        <v>235</v>
      </c>
      <c r="B35" s="43"/>
      <c r="C35" s="44" t="str">
        <f aca="false">IF($B$39=0,"",B35/$B$39)</f>
        <v/>
      </c>
      <c r="D35" s="43"/>
      <c r="E35" s="44" t="str">
        <f aca="false">IF($D$39=0,"",D35/$D$39)</f>
        <v/>
      </c>
      <c r="F35" s="43"/>
      <c r="G35" s="44" t="str">
        <f aca="false">IF($F$39=0,"",F35/$F$39)</f>
        <v/>
      </c>
      <c r="H35" s="43"/>
      <c r="I35" s="44" t="str">
        <f aca="false">IF($H$39=0,"",H35/$H$39)</f>
        <v/>
      </c>
      <c r="J35" s="43"/>
      <c r="K35" s="44" t="str">
        <f aca="false">IF($J$39=0,"",J35/$J$39)</f>
        <v/>
      </c>
      <c r="L35" s="45" t="n">
        <f aca="false">F35+H35+J35</f>
        <v>0</v>
      </c>
      <c r="M35" s="44" t="str">
        <f aca="false">IF($L$39=0,"",L35/$L$39)</f>
        <v/>
      </c>
      <c r="N35" s="43"/>
      <c r="O35" s="44" t="str">
        <f aca="false">IF($N$39=0,"",N35/$N$39)</f>
        <v/>
      </c>
      <c r="P35" s="43"/>
      <c r="Q35" s="44" t="str">
        <f aca="false">IF($P$39=0,"",P35/$P$39)</f>
        <v/>
      </c>
      <c r="R35" s="43"/>
      <c r="S35" s="44" t="str">
        <f aca="false">IF($R$39=0,"",R35/$R$39)</f>
        <v/>
      </c>
      <c r="T35" s="45" t="n">
        <f aca="false">N35+P35+R35</f>
        <v>0</v>
      </c>
      <c r="U35" s="44" t="str">
        <f aca="false">IF($T$39=0,"",T35/$T$39)</f>
        <v/>
      </c>
    </row>
    <row r="36" customFormat="false" ht="15" hidden="false" customHeight="false" outlineLevel="0" collapsed="false">
      <c r="A36" s="17" t="s">
        <v>236</v>
      </c>
      <c r="B36" s="43"/>
      <c r="C36" s="44" t="str">
        <f aca="false">IF($B$39=0,"",B36/$B$39)</f>
        <v/>
      </c>
      <c r="D36" s="43"/>
      <c r="E36" s="44" t="str">
        <f aca="false">IF($D$39=0,"",D36/$D$39)</f>
        <v/>
      </c>
      <c r="F36" s="43"/>
      <c r="G36" s="44" t="str">
        <f aca="false">IF($F$39=0,"",F36/$F$39)</f>
        <v/>
      </c>
      <c r="H36" s="43"/>
      <c r="I36" s="44" t="str">
        <f aca="false">IF($H$39=0,"",H36/$H$39)</f>
        <v/>
      </c>
      <c r="J36" s="43"/>
      <c r="K36" s="44" t="str">
        <f aca="false">IF($J$39=0,"",J36/$J$39)</f>
        <v/>
      </c>
      <c r="L36" s="45" t="n">
        <f aca="false">F36+H36+J36</f>
        <v>0</v>
      </c>
      <c r="M36" s="44" t="str">
        <f aca="false">IF($L$39=0,"",L36/$L$39)</f>
        <v/>
      </c>
      <c r="N36" s="43"/>
      <c r="O36" s="44" t="str">
        <f aca="false">IF($N$39=0,"",N36/$N$39)</f>
        <v/>
      </c>
      <c r="P36" s="43"/>
      <c r="Q36" s="44" t="str">
        <f aca="false">IF($P$39=0,"",P36/$P$39)</f>
        <v/>
      </c>
      <c r="R36" s="43"/>
      <c r="S36" s="44" t="str">
        <f aca="false">IF($R$39=0,"",R36/$R$39)</f>
        <v/>
      </c>
      <c r="T36" s="45" t="n">
        <f aca="false">N36+P36+R36</f>
        <v>0</v>
      </c>
      <c r="U36" s="44" t="str">
        <f aca="false">IF($T$39=0,"",T36/$T$39)</f>
        <v/>
      </c>
    </row>
    <row r="37" customFormat="false" ht="15" hidden="false" customHeight="false" outlineLevel="0" collapsed="false">
      <c r="A37" s="17" t="s">
        <v>237</v>
      </c>
      <c r="B37" s="43"/>
      <c r="C37" s="44" t="str">
        <f aca="false">IF($B$39=0,"",B37/$B$39)</f>
        <v/>
      </c>
      <c r="D37" s="43"/>
      <c r="E37" s="44" t="str">
        <f aca="false">IF($D$39=0,"",D37/$D$39)</f>
        <v/>
      </c>
      <c r="F37" s="43"/>
      <c r="G37" s="44" t="str">
        <f aca="false">IF($F$39=0,"",F37/$F$39)</f>
        <v/>
      </c>
      <c r="H37" s="43"/>
      <c r="I37" s="44" t="str">
        <f aca="false">IF($H$39=0,"",H37/$H$39)</f>
        <v/>
      </c>
      <c r="J37" s="43"/>
      <c r="K37" s="44" t="str">
        <f aca="false">IF($J$39=0,"",J37/$J$39)</f>
        <v/>
      </c>
      <c r="L37" s="45" t="n">
        <f aca="false">F37+H37+J37</f>
        <v>0</v>
      </c>
      <c r="M37" s="44" t="str">
        <f aca="false">IF($L$39=0,"",L37/$L$39)</f>
        <v/>
      </c>
      <c r="N37" s="43"/>
      <c r="O37" s="44" t="str">
        <f aca="false">IF($N$39=0,"",N37/$N$39)</f>
        <v/>
      </c>
      <c r="P37" s="43"/>
      <c r="Q37" s="44" t="str">
        <f aca="false">IF($P$39=0,"",P37/$P$39)</f>
        <v/>
      </c>
      <c r="R37" s="43"/>
      <c r="S37" s="44" t="str">
        <f aca="false">IF($R$39=0,"",R37/$R$39)</f>
        <v/>
      </c>
      <c r="T37" s="45" t="n">
        <f aca="false">N37+P37+R37</f>
        <v>0</v>
      </c>
      <c r="U37" s="44" t="str">
        <f aca="false">IF($T$39=0,"",T37/$T$39)</f>
        <v/>
      </c>
    </row>
    <row r="38" customFormat="false" ht="15" hidden="false" customHeight="false" outlineLevel="0" collapsed="false">
      <c r="A38" s="17" t="s">
        <v>238</v>
      </c>
      <c r="B38" s="43"/>
      <c r="C38" s="44" t="str">
        <f aca="false">IF($B$39=0,"",B38/$B$39)</f>
        <v/>
      </c>
      <c r="D38" s="43"/>
      <c r="E38" s="44" t="str">
        <f aca="false">IF($D$39=0,"",D38/$D$39)</f>
        <v/>
      </c>
      <c r="F38" s="43"/>
      <c r="G38" s="44" t="str">
        <f aca="false">IF($F$39=0,"",F38/$F$39)</f>
        <v/>
      </c>
      <c r="H38" s="43"/>
      <c r="I38" s="44" t="str">
        <f aca="false">IF($H$39=0,"",H38/$H$39)</f>
        <v/>
      </c>
      <c r="J38" s="43"/>
      <c r="K38" s="44" t="str">
        <f aca="false">IF($J$39=0,"",J38/$J$39)</f>
        <v/>
      </c>
      <c r="L38" s="45" t="n">
        <f aca="false">F38+H38+J38</f>
        <v>0</v>
      </c>
      <c r="M38" s="44" t="str">
        <f aca="false">IF($L$39=0,"",L38/$L$39)</f>
        <v/>
      </c>
      <c r="N38" s="43"/>
      <c r="O38" s="44" t="str">
        <f aca="false">IF($N$39=0,"",N38/$N$39)</f>
        <v/>
      </c>
      <c r="P38" s="43"/>
      <c r="Q38" s="44" t="str">
        <f aca="false">IF($P$39=0,"",P38/$P$39)</f>
        <v/>
      </c>
      <c r="R38" s="43"/>
      <c r="S38" s="44" t="str">
        <f aca="false">IF($R$39=0,"",R38/$R$39)</f>
        <v/>
      </c>
      <c r="T38" s="45" t="n">
        <f aca="false">N38+P38+R38</f>
        <v>0</v>
      </c>
      <c r="U38" s="44" t="str">
        <f aca="false">IF($T$39=0,"",T38/$T$39)</f>
        <v/>
      </c>
    </row>
    <row r="39" customFormat="false" ht="15" hidden="false" customHeight="false" outlineLevel="0" collapsed="false">
      <c r="A39" s="22" t="s">
        <v>20</v>
      </c>
      <c r="B39" s="46" t="n">
        <f aca="false">SUM(B34:B38)</f>
        <v>0</v>
      </c>
      <c r="D39" s="46" t="n">
        <f aca="false">SUM(D34:D38)</f>
        <v>0</v>
      </c>
      <c r="F39" s="46" t="n">
        <f aca="false">SUM(F34:F38)</f>
        <v>0</v>
      </c>
      <c r="H39" s="46" t="n">
        <f aca="false">SUM(H34:H38)</f>
        <v>0</v>
      </c>
      <c r="J39" s="46" t="n">
        <f aca="false">SUM(J34:J38)</f>
        <v>0</v>
      </c>
      <c r="L39" s="46" t="n">
        <f aca="false">SUM(L34:L38)</f>
        <v>0</v>
      </c>
      <c r="N39" s="46" t="n">
        <f aca="false">SUM(N34:N38)</f>
        <v>0</v>
      </c>
      <c r="P39" s="46" t="n">
        <f aca="false">SUM(P34:P38)</f>
        <v>0</v>
      </c>
      <c r="R39" s="46" t="n">
        <f aca="false">SUM(R34:R38)</f>
        <v>0</v>
      </c>
      <c r="T39" s="46" t="n">
        <f aca="false">SUM(T34:T38)</f>
        <v>0</v>
      </c>
    </row>
    <row r="41" customFormat="false" ht="15" hidden="false" customHeight="false" outlineLevel="0" collapsed="false">
      <c r="A41" s="5" t="s">
        <v>239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57.75" hidden="false" customHeight="true" outlineLevel="0" collapsed="false">
      <c r="A42" s="7" t="s">
        <v>233</v>
      </c>
      <c r="B42" s="7" t="s">
        <v>209</v>
      </c>
      <c r="C42" s="7" t="s">
        <v>210</v>
      </c>
      <c r="D42" s="7" t="s">
        <v>211</v>
      </c>
      <c r="E42" s="7" t="s">
        <v>210</v>
      </c>
      <c r="F42" s="7" t="s">
        <v>212</v>
      </c>
      <c r="G42" s="7" t="s">
        <v>210</v>
      </c>
      <c r="H42" s="7" t="s">
        <v>213</v>
      </c>
      <c r="I42" s="7" t="s">
        <v>210</v>
      </c>
      <c r="J42" s="7" t="s">
        <v>214</v>
      </c>
      <c r="K42" s="7" t="s">
        <v>210</v>
      </c>
      <c r="L42" s="7" t="s">
        <v>215</v>
      </c>
      <c r="M42" s="7" t="s">
        <v>210</v>
      </c>
      <c r="N42" s="7" t="s">
        <v>216</v>
      </c>
      <c r="O42" s="7" t="s">
        <v>210</v>
      </c>
      <c r="P42" s="7" t="s">
        <v>217</v>
      </c>
      <c r="Q42" s="7" t="s">
        <v>210</v>
      </c>
      <c r="R42" s="7" t="s">
        <v>218</v>
      </c>
      <c r="S42" s="7" t="s">
        <v>210</v>
      </c>
      <c r="T42" s="7" t="s">
        <v>219</v>
      </c>
      <c r="U42" s="7" t="s">
        <v>210</v>
      </c>
    </row>
    <row r="43" customFormat="false" ht="15" hidden="false" customHeight="false" outlineLevel="0" collapsed="false">
      <c r="A43" s="17" t="s">
        <v>240</v>
      </c>
      <c r="B43" s="43"/>
      <c r="C43" s="44" t="str">
        <f aca="false">IF($B$46=0,"",B43/$B$46)</f>
        <v/>
      </c>
      <c r="D43" s="43"/>
      <c r="E43" s="44" t="str">
        <f aca="false">IF($D$46=0,"",D43/$D$46)</f>
        <v/>
      </c>
      <c r="F43" s="43"/>
      <c r="G43" s="44" t="str">
        <f aca="false">IF($F$46=0,"",F43/$F$46)</f>
        <v/>
      </c>
      <c r="H43" s="43"/>
      <c r="I43" s="44" t="str">
        <f aca="false">IF($H$46=0,"",H43/$H$46)</f>
        <v/>
      </c>
      <c r="J43" s="43"/>
      <c r="K43" s="44" t="str">
        <f aca="false">IF($J$46=0,"",J43/$J$46)</f>
        <v/>
      </c>
      <c r="L43" s="45" t="n">
        <f aca="false">F43+H43+J43</f>
        <v>0</v>
      </c>
      <c r="M43" s="44" t="str">
        <f aca="false">IF($L$46=0,"",L43/$L$46)</f>
        <v/>
      </c>
      <c r="N43" s="43"/>
      <c r="O43" s="44" t="str">
        <f aca="false">IF($N$46=0,"",N43/$N$46)</f>
        <v/>
      </c>
      <c r="P43" s="43"/>
      <c r="Q43" s="44" t="str">
        <f aca="false">IF($P$46=0,"",P43/$P$46)</f>
        <v/>
      </c>
      <c r="R43" s="43"/>
      <c r="S43" s="44" t="str">
        <f aca="false">IF($R$46=0,"",R43/$R$46)</f>
        <v/>
      </c>
      <c r="T43" s="45" t="n">
        <f aca="false">N43+P43+R43</f>
        <v>0</v>
      </c>
      <c r="U43" s="44" t="str">
        <f aca="false">IF($T$46=0,"",T43/$T$46)</f>
        <v/>
      </c>
    </row>
    <row r="44" customFormat="false" ht="15" hidden="false" customHeight="false" outlineLevel="0" collapsed="false">
      <c r="A44" s="17" t="s">
        <v>241</v>
      </c>
      <c r="B44" s="43"/>
      <c r="C44" s="44" t="str">
        <f aca="false">IF($B$46=0,"",B44/$B$46)</f>
        <v/>
      </c>
      <c r="D44" s="43"/>
      <c r="E44" s="44" t="str">
        <f aca="false">IF($D$46=0,"",D44/$D$46)</f>
        <v/>
      </c>
      <c r="F44" s="43"/>
      <c r="G44" s="44" t="str">
        <f aca="false">IF($F$46=0,"",F44/$F$46)</f>
        <v/>
      </c>
      <c r="H44" s="43"/>
      <c r="I44" s="44" t="str">
        <f aca="false">IF($H$46=0,"",H44/$H$46)</f>
        <v/>
      </c>
      <c r="J44" s="43"/>
      <c r="K44" s="44" t="str">
        <f aca="false">IF($J$46=0,"",J44/$J$46)</f>
        <v/>
      </c>
      <c r="L44" s="45" t="n">
        <f aca="false">F44+H44+J44</f>
        <v>0</v>
      </c>
      <c r="M44" s="44" t="str">
        <f aca="false">IF($L$46=0,"",L44/$L$46)</f>
        <v/>
      </c>
      <c r="N44" s="43"/>
      <c r="O44" s="44" t="str">
        <f aca="false">IF($N$46=0,"",N44/$N$46)</f>
        <v/>
      </c>
      <c r="P44" s="43"/>
      <c r="Q44" s="44" t="str">
        <f aca="false">IF($P$46=0,"",P44/$P$46)</f>
        <v/>
      </c>
      <c r="R44" s="43"/>
      <c r="S44" s="44" t="str">
        <f aca="false">IF($R$46=0,"",R44/$R$46)</f>
        <v/>
      </c>
      <c r="T44" s="45" t="n">
        <f aca="false">N44+P44+R44</f>
        <v>0</v>
      </c>
      <c r="U44" s="44" t="str">
        <f aca="false">IF($T$46=0,"",T44/$T$46)</f>
        <v/>
      </c>
    </row>
    <row r="45" customFormat="false" ht="15" hidden="false" customHeight="false" outlineLevel="0" collapsed="false">
      <c r="A45" s="17" t="s">
        <v>242</v>
      </c>
      <c r="B45" s="43"/>
      <c r="C45" s="44" t="str">
        <f aca="false">IF($B$46=0,"",B45/$B$46)</f>
        <v/>
      </c>
      <c r="D45" s="43"/>
      <c r="E45" s="44" t="str">
        <f aca="false">IF($D$46=0,"",D45/$D$46)</f>
        <v/>
      </c>
      <c r="F45" s="43"/>
      <c r="G45" s="44" t="str">
        <f aca="false">IF($F$46=0,"",F45/$F$46)</f>
        <v/>
      </c>
      <c r="H45" s="43"/>
      <c r="I45" s="44" t="str">
        <f aca="false">IF($H$46=0,"",H45/$H$46)</f>
        <v/>
      </c>
      <c r="J45" s="43"/>
      <c r="K45" s="44" t="str">
        <f aca="false">IF($J$46=0,"",J45/$J$46)</f>
        <v/>
      </c>
      <c r="L45" s="45" t="n">
        <f aca="false">F45+H45+J45</f>
        <v>0</v>
      </c>
      <c r="M45" s="44" t="str">
        <f aca="false">IF($L$46=0,"",L45/$L$46)</f>
        <v/>
      </c>
      <c r="N45" s="43"/>
      <c r="O45" s="44" t="str">
        <f aca="false">IF($N$46=0,"",N45/$N$46)</f>
        <v/>
      </c>
      <c r="P45" s="43"/>
      <c r="Q45" s="44" t="str">
        <f aca="false">IF($P$46=0,"",P45/$P$46)</f>
        <v/>
      </c>
      <c r="R45" s="43"/>
      <c r="S45" s="44" t="str">
        <f aca="false">IF($R$46=0,"",R45/$R$46)</f>
        <v/>
      </c>
      <c r="T45" s="45" t="n">
        <f aca="false">N45+P45+R45</f>
        <v>0</v>
      </c>
      <c r="U45" s="44" t="str">
        <f aca="false">IF($T$46=0,"",T45/$T$46)</f>
        <v/>
      </c>
    </row>
    <row r="46" customFormat="false" ht="15" hidden="false" customHeight="false" outlineLevel="0" collapsed="false">
      <c r="A46" s="22" t="s">
        <v>18</v>
      </c>
      <c r="B46" s="46" t="n">
        <f aca="false">SUM(B43:B45)</f>
        <v>0</v>
      </c>
      <c r="D46" s="46" t="n">
        <f aca="false">SUM(D43:D45)</f>
        <v>0</v>
      </c>
      <c r="F46" s="46" t="n">
        <f aca="false">SUM(F43:F45)</f>
        <v>0</v>
      </c>
      <c r="H46" s="46" t="n">
        <f aca="false">SUM(H43:H45)</f>
        <v>0</v>
      </c>
      <c r="J46" s="46" t="n">
        <f aca="false">SUM(J43:J45)</f>
        <v>0</v>
      </c>
      <c r="L46" s="46" t="n">
        <f aca="false">SUM(L43:L45)</f>
        <v>0</v>
      </c>
      <c r="N46" s="46" t="n">
        <f aca="false">SUM(N43:N45)</f>
        <v>0</v>
      </c>
      <c r="P46" s="46" t="n">
        <f aca="false">SUM(P43:P45)</f>
        <v>0</v>
      </c>
      <c r="R46" s="46" t="n">
        <f aca="false">SUM(R43:R45)</f>
        <v>0</v>
      </c>
      <c r="T46" s="46" t="n">
        <f aca="false">SUM(T43:T45)</f>
        <v>0</v>
      </c>
    </row>
    <row r="48" customFormat="false" ht="15" hidden="false" customHeight="false" outlineLevel="0" collapsed="false">
      <c r="A48" s="5" t="s">
        <v>243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57.75" hidden="false" customHeight="true" outlineLevel="0" collapsed="false">
      <c r="A49" s="7" t="s">
        <v>233</v>
      </c>
      <c r="B49" s="7" t="s">
        <v>209</v>
      </c>
      <c r="C49" s="7" t="s">
        <v>210</v>
      </c>
      <c r="D49" s="7" t="s">
        <v>211</v>
      </c>
      <c r="E49" s="7" t="s">
        <v>210</v>
      </c>
      <c r="F49" s="7" t="s">
        <v>212</v>
      </c>
      <c r="G49" s="7" t="s">
        <v>210</v>
      </c>
      <c r="H49" s="7" t="s">
        <v>213</v>
      </c>
      <c r="I49" s="7" t="s">
        <v>210</v>
      </c>
      <c r="J49" s="7" t="s">
        <v>214</v>
      </c>
      <c r="K49" s="7" t="s">
        <v>210</v>
      </c>
      <c r="L49" s="7" t="s">
        <v>215</v>
      </c>
      <c r="M49" s="7" t="s">
        <v>210</v>
      </c>
      <c r="N49" s="7" t="s">
        <v>216</v>
      </c>
      <c r="O49" s="7" t="s">
        <v>210</v>
      </c>
      <c r="P49" s="7" t="s">
        <v>217</v>
      </c>
      <c r="Q49" s="7" t="s">
        <v>210</v>
      </c>
      <c r="R49" s="7" t="s">
        <v>218</v>
      </c>
      <c r="S49" s="7" t="s">
        <v>210</v>
      </c>
      <c r="T49" s="7" t="s">
        <v>219</v>
      </c>
      <c r="U49" s="7" t="s">
        <v>210</v>
      </c>
    </row>
    <row r="50" customFormat="false" ht="15" hidden="false" customHeight="false" outlineLevel="0" collapsed="false">
      <c r="A50" s="17" t="s">
        <v>244</v>
      </c>
      <c r="B50" s="43"/>
      <c r="C50" s="44" t="str">
        <f aca="false">IF($B$52=0,"",B50/$B$52)</f>
        <v/>
      </c>
      <c r="D50" s="43"/>
      <c r="E50" s="44" t="str">
        <f aca="false">IF($D$52=0,"",D50/$D$52)</f>
        <v/>
      </c>
      <c r="F50" s="43"/>
      <c r="G50" s="44" t="str">
        <f aca="false">IF($F$52=0,"",F50/$F$52)</f>
        <v/>
      </c>
      <c r="H50" s="43"/>
      <c r="I50" s="44" t="str">
        <f aca="false">IF($H$52=0,"",H50/$H$52)</f>
        <v/>
      </c>
      <c r="J50" s="43"/>
      <c r="K50" s="44" t="str">
        <f aca="false">IF($J$52=0,"",J50/$J$52)</f>
        <v/>
      </c>
      <c r="L50" s="45" t="n">
        <f aca="false">F50+H50+J50</f>
        <v>0</v>
      </c>
      <c r="M50" s="44" t="str">
        <f aca="false">IF($L$52=0,"",L50/$L$52)</f>
        <v/>
      </c>
      <c r="N50" s="43"/>
      <c r="O50" s="44" t="str">
        <f aca="false">IF($N$52=0,"",N50/$N$52)</f>
        <v/>
      </c>
      <c r="P50" s="43"/>
      <c r="Q50" s="44" t="str">
        <f aca="false">IF($P$52=0,"",P50/$P$52)</f>
        <v/>
      </c>
      <c r="R50" s="43"/>
      <c r="S50" s="44" t="str">
        <f aca="false">IF($R$52=0,"",R50/$R$52)</f>
        <v/>
      </c>
      <c r="T50" s="45" t="n">
        <f aca="false">N50+P50+R50</f>
        <v>0</v>
      </c>
      <c r="U50" s="44" t="str">
        <f aca="false">IF($T$52=0,"",T50/$T$52)</f>
        <v/>
      </c>
    </row>
    <row r="51" customFormat="false" ht="15" hidden="false" customHeight="false" outlineLevel="0" collapsed="false">
      <c r="A51" s="17" t="s">
        <v>245</v>
      </c>
      <c r="B51" s="43"/>
      <c r="C51" s="44" t="str">
        <f aca="false">IF($B$52=0,"",B51/$B$52)</f>
        <v/>
      </c>
      <c r="D51" s="43"/>
      <c r="E51" s="44" t="str">
        <f aca="false">IF($D$52=0,"",D51/$D$52)</f>
        <v/>
      </c>
      <c r="F51" s="43"/>
      <c r="G51" s="44" t="str">
        <f aca="false">IF($F$52=0,"",F51/$F$52)</f>
        <v/>
      </c>
      <c r="H51" s="43"/>
      <c r="I51" s="44" t="str">
        <f aca="false">IF($H$52=0,"",H51/$H$52)</f>
        <v/>
      </c>
      <c r="J51" s="43"/>
      <c r="K51" s="44" t="str">
        <f aca="false">IF($J$52=0,"",J51/$J$52)</f>
        <v/>
      </c>
      <c r="L51" s="45" t="n">
        <f aca="false">F51+H51+J51</f>
        <v>0</v>
      </c>
      <c r="M51" s="44" t="str">
        <f aca="false">IF($L$52=0,"",L51/$L$52)</f>
        <v/>
      </c>
      <c r="N51" s="43"/>
      <c r="O51" s="44" t="str">
        <f aca="false">IF($N$52=0,"",N51/$N$52)</f>
        <v/>
      </c>
      <c r="P51" s="43"/>
      <c r="Q51" s="44" t="str">
        <f aca="false">IF($P$52=0,"",P51/$P$52)</f>
        <v/>
      </c>
      <c r="R51" s="43"/>
      <c r="S51" s="44" t="str">
        <f aca="false">IF($R$52=0,"",R51/$R$52)</f>
        <v/>
      </c>
      <c r="T51" s="45" t="n">
        <f aca="false">N51+P51+R51</f>
        <v>0</v>
      </c>
      <c r="U51" s="44" t="str">
        <f aca="false">IF($T$52=0,"",T51/$T$52)</f>
        <v/>
      </c>
    </row>
    <row r="52" customFormat="false" ht="15" hidden="false" customHeight="false" outlineLevel="0" collapsed="false">
      <c r="A52" s="22" t="s">
        <v>246</v>
      </c>
      <c r="B52" s="46" t="n">
        <f aca="false">SUM(B50:B51)</f>
        <v>0</v>
      </c>
      <c r="D52" s="46" t="n">
        <f aca="false">SUM(D50:D51)</f>
        <v>0</v>
      </c>
      <c r="F52" s="46" t="n">
        <f aca="false">SUM(F50:F51)</f>
        <v>0</v>
      </c>
      <c r="H52" s="46" t="n">
        <f aca="false">SUM(H50:H51)</f>
        <v>0</v>
      </c>
      <c r="J52" s="46" t="n">
        <f aca="false">SUM(J50:J51)</f>
        <v>0</v>
      </c>
      <c r="L52" s="46" t="n">
        <f aca="false">SUM(L50:L51)</f>
        <v>0</v>
      </c>
      <c r="N52" s="46" t="n">
        <f aca="false">SUM(N50:N51)</f>
        <v>0</v>
      </c>
      <c r="P52" s="46" t="n">
        <f aca="false">SUM(P50:P51)</f>
        <v>0</v>
      </c>
      <c r="R52" s="46" t="n">
        <f aca="false">SUM(R50:R51)</f>
        <v>0</v>
      </c>
      <c r="T52" s="46" t="n">
        <f aca="false">SUM(T50:T51)</f>
        <v>0</v>
      </c>
    </row>
    <row r="54" customFormat="false" ht="15" hidden="false" customHeight="false" outlineLevel="0" collapsed="false">
      <c r="A54" s="5" t="s">
        <v>247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57.75" hidden="false" customHeight="true" outlineLevel="0" collapsed="false">
      <c r="A55" s="7" t="s">
        <v>233</v>
      </c>
      <c r="B55" s="7" t="s">
        <v>209</v>
      </c>
      <c r="C55" s="7" t="s">
        <v>210</v>
      </c>
      <c r="D55" s="7" t="s">
        <v>211</v>
      </c>
      <c r="E55" s="7" t="s">
        <v>210</v>
      </c>
      <c r="F55" s="7" t="s">
        <v>212</v>
      </c>
      <c r="G55" s="7" t="s">
        <v>210</v>
      </c>
      <c r="H55" s="7" t="s">
        <v>213</v>
      </c>
      <c r="I55" s="7" t="s">
        <v>210</v>
      </c>
      <c r="J55" s="7" t="s">
        <v>214</v>
      </c>
      <c r="K55" s="7" t="s">
        <v>210</v>
      </c>
      <c r="L55" s="7" t="s">
        <v>215</v>
      </c>
      <c r="M55" s="7" t="s">
        <v>210</v>
      </c>
      <c r="N55" s="7" t="s">
        <v>216</v>
      </c>
      <c r="O55" s="7" t="s">
        <v>210</v>
      </c>
      <c r="P55" s="7" t="s">
        <v>217</v>
      </c>
      <c r="Q55" s="7" t="s">
        <v>210</v>
      </c>
      <c r="R55" s="7" t="s">
        <v>218</v>
      </c>
      <c r="S55" s="7" t="s">
        <v>210</v>
      </c>
      <c r="T55" s="7" t="s">
        <v>219</v>
      </c>
      <c r="U55" s="7" t="s">
        <v>210</v>
      </c>
    </row>
    <row r="56" customFormat="false" ht="15" hidden="false" customHeight="false" outlineLevel="0" collapsed="false">
      <c r="A56" s="17" t="s">
        <v>248</v>
      </c>
      <c r="B56" s="43"/>
      <c r="C56" s="44" t="str">
        <f aca="false">IF($B$58=0,"",B56/$B$58)</f>
        <v/>
      </c>
      <c r="D56" s="43"/>
      <c r="E56" s="44" t="str">
        <f aca="false">IF($D$58=0,"",D56/$D$58)</f>
        <v/>
      </c>
      <c r="F56" s="43"/>
      <c r="G56" s="44" t="str">
        <f aca="false">IF($F$58=0,"",F56/$F$58)</f>
        <v/>
      </c>
      <c r="H56" s="43"/>
      <c r="I56" s="44" t="str">
        <f aca="false">IF($H$58=0,"",H56/$H$58)</f>
        <v/>
      </c>
      <c r="J56" s="43"/>
      <c r="K56" s="44" t="str">
        <f aca="false">IF($J$58=0,"",J56/$J$58)</f>
        <v/>
      </c>
      <c r="L56" s="45" t="n">
        <f aca="false">F56+H56+J56</f>
        <v>0</v>
      </c>
      <c r="M56" s="44" t="str">
        <f aca="false">IF($L$58=0,"",L56/$L$58)</f>
        <v/>
      </c>
      <c r="N56" s="43"/>
      <c r="O56" s="44" t="str">
        <f aca="false">IF($N$58=0,"",N56/$N$58)</f>
        <v/>
      </c>
      <c r="P56" s="43"/>
      <c r="Q56" s="44" t="str">
        <f aca="false">IF($P$58=0,"",P56/$P$58)</f>
        <v/>
      </c>
      <c r="R56" s="43"/>
      <c r="S56" s="44" t="str">
        <f aca="false">IF($R$58=0,"",R56/$R$58)</f>
        <v/>
      </c>
      <c r="T56" s="45" t="n">
        <f aca="false">N56+P56+R56</f>
        <v>0</v>
      </c>
      <c r="U56" s="44" t="str">
        <f aca="false">IF($T$58=0,"",T56/$T$58)</f>
        <v/>
      </c>
    </row>
    <row r="57" customFormat="false" ht="15" hidden="false" customHeight="false" outlineLevel="0" collapsed="false">
      <c r="A57" s="17" t="s">
        <v>249</v>
      </c>
      <c r="B57" s="43"/>
      <c r="C57" s="44" t="str">
        <f aca="false">IF($B$58=0,"",B57/$B$58)</f>
        <v/>
      </c>
      <c r="D57" s="43"/>
      <c r="E57" s="44" t="str">
        <f aca="false">IF($D$58=0,"",D57/$D$58)</f>
        <v/>
      </c>
      <c r="F57" s="43"/>
      <c r="G57" s="44" t="str">
        <f aca="false">IF($F$58=0,"",F57/$F$58)</f>
        <v/>
      </c>
      <c r="H57" s="43"/>
      <c r="I57" s="44" t="str">
        <f aca="false">IF($H$58=0,"",H57/$H$58)</f>
        <v/>
      </c>
      <c r="J57" s="43"/>
      <c r="K57" s="44" t="str">
        <f aca="false">IF($J$58=0,"",J57/$J$58)</f>
        <v/>
      </c>
      <c r="L57" s="45" t="n">
        <f aca="false">F57+H57+J57</f>
        <v>0</v>
      </c>
      <c r="M57" s="44" t="str">
        <f aca="false">IF($L$58=0,"",L57/$L$58)</f>
        <v/>
      </c>
      <c r="N57" s="43"/>
      <c r="O57" s="44" t="str">
        <f aca="false">IF($N$58=0,"",N57/$N$58)</f>
        <v/>
      </c>
      <c r="P57" s="43"/>
      <c r="Q57" s="44" t="str">
        <f aca="false">IF($P$58=0,"",P57/$P$58)</f>
        <v/>
      </c>
      <c r="R57" s="43"/>
      <c r="S57" s="44" t="str">
        <f aca="false">IF($R$58=0,"",R57/$R$58)</f>
        <v/>
      </c>
      <c r="T57" s="45" t="n">
        <f aca="false">N57+P57+R57</f>
        <v>0</v>
      </c>
      <c r="U57" s="44" t="str">
        <f aca="false">IF($T$58=0,"",T57/$T$58)</f>
        <v/>
      </c>
    </row>
    <row r="58" customFormat="false" ht="15" hidden="false" customHeight="false" outlineLevel="0" collapsed="false">
      <c r="A58" s="22" t="s">
        <v>250</v>
      </c>
      <c r="B58" s="46" t="n">
        <f aca="false">SUM(B56:B57)</f>
        <v>0</v>
      </c>
      <c r="D58" s="46" t="n">
        <f aca="false">SUM(D56:D57)</f>
        <v>0</v>
      </c>
      <c r="F58" s="46" t="n">
        <f aca="false">SUM(F56:F57)</f>
        <v>0</v>
      </c>
      <c r="H58" s="46" t="n">
        <f aca="false">SUM(H56:H57)</f>
        <v>0</v>
      </c>
      <c r="J58" s="46" t="n">
        <f aca="false">SUM(J56:J57)</f>
        <v>0</v>
      </c>
      <c r="L58" s="46" t="n">
        <f aca="false">SUM(L56:L57)</f>
        <v>0</v>
      </c>
      <c r="N58" s="46" t="n">
        <f aca="false">SUM(N56:N57)</f>
        <v>0</v>
      </c>
      <c r="P58" s="46" t="n">
        <f aca="false">SUM(P56:P57)</f>
        <v>0</v>
      </c>
      <c r="R58" s="46" t="n">
        <f aca="false">SUM(R56:R57)</f>
        <v>0</v>
      </c>
      <c r="T58" s="46" t="n">
        <f aca="false">SUM(T56:T57)</f>
        <v>0</v>
      </c>
    </row>
    <row r="60" customFormat="false" ht="15" hidden="false" customHeight="false" outlineLevel="0" collapsed="false">
      <c r="A60" s="5" t="s">
        <v>251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5" hidden="false" customHeight="false" outlineLevel="0" collapsed="false">
      <c r="A61" s="47" t="s">
        <v>252</v>
      </c>
      <c r="B61" s="43"/>
      <c r="D61" s="43"/>
      <c r="F61" s="43"/>
      <c r="H61" s="43"/>
      <c r="J61" s="43"/>
      <c r="L61" s="48" t="n">
        <f aca="false">F61+H61+J61</f>
        <v>0</v>
      </c>
      <c r="N61" s="43"/>
      <c r="P61" s="43"/>
      <c r="R61" s="43"/>
      <c r="T61" s="48" t="n">
        <f aca="false">N61+P61+R61</f>
        <v>0</v>
      </c>
    </row>
    <row r="62" customFormat="false" ht="15" hidden="false" customHeight="false" outlineLevel="0" collapsed="false">
      <c r="A62" s="22" t="s">
        <v>253</v>
      </c>
      <c r="B62" s="49" t="str">
        <f aca="false">IF(B61=0,"",B16/B61)</f>
        <v/>
      </c>
      <c r="D62" s="49" t="str">
        <f aca="false">IF(D61=0,"",D16/D61)</f>
        <v/>
      </c>
      <c r="F62" s="49" t="str">
        <f aca="false">IF(F61=0,"",F16/F61)</f>
        <v/>
      </c>
      <c r="H62" s="49" t="str">
        <f aca="false">IF(H61=0,"",H16/H61)</f>
        <v/>
      </c>
      <c r="J62" s="49" t="str">
        <f aca="false">IF(J61=0,"",J16/J61)</f>
        <v/>
      </c>
      <c r="L62" s="49" t="str">
        <f aca="false">IF(L61=0,"",L16/L61)</f>
        <v/>
      </c>
      <c r="N62" s="49" t="str">
        <f aca="false">IF(N61=0,"",N16/N61)</f>
        <v/>
      </c>
      <c r="P62" s="49" t="str">
        <f aca="false">IF(P61=0,"",P16/P61)</f>
        <v/>
      </c>
      <c r="R62" s="49" t="str">
        <f aca="false">IF(R61=0,"",R16/R61)</f>
        <v/>
      </c>
      <c r="T62" s="49" t="str">
        <f aca="false">IF(T61=0,"",T16/T61)</f>
        <v/>
      </c>
    </row>
    <row r="64" customFormat="false" ht="15" hidden="false" customHeight="true" outlineLevel="0" collapsed="false">
      <c r="A64" s="2" t="s">
        <v>254</v>
      </c>
      <c r="B64" s="2"/>
      <c r="C64" s="2"/>
      <c r="D64" s="2"/>
      <c r="E64" s="2"/>
      <c r="F64" s="2"/>
      <c r="G64" s="2"/>
      <c r="H64" s="2"/>
      <c r="I64" s="2"/>
      <c r="J64" s="2"/>
      <c r="K64" s="2"/>
    </row>
    <row r="65" customFormat="false" ht="15" hidden="false" customHeight="true" outlineLevel="0" collapsed="false">
      <c r="A65" s="2" t="s">
        <v>255</v>
      </c>
      <c r="B65" s="2"/>
      <c r="C65" s="2"/>
      <c r="D65" s="2"/>
      <c r="E65" s="2"/>
      <c r="F65" s="2"/>
      <c r="G65" s="2"/>
      <c r="H65" s="2"/>
      <c r="I65" s="2"/>
      <c r="J65" s="2"/>
      <c r="K65" s="2"/>
    </row>
    <row r="66" customFormat="false" ht="15" hidden="false" customHeight="true" outlineLevel="0" collapsed="false">
      <c r="A66" s="2" t="s">
        <v>256</v>
      </c>
      <c r="B66" s="2"/>
      <c r="C66" s="2"/>
      <c r="D66" s="2"/>
      <c r="E66" s="2"/>
      <c r="F66" s="2"/>
      <c r="G66" s="2"/>
      <c r="H66" s="2"/>
      <c r="I66" s="2"/>
      <c r="J66" s="2"/>
      <c r="K66" s="2"/>
    </row>
  </sheetData>
  <mergeCells count="4">
    <mergeCell ref="A2:K2"/>
    <mergeCell ref="A64:K64"/>
    <mergeCell ref="A65:K65"/>
    <mergeCell ref="A66:K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</cols>
  <sheetData>
    <row r="1" customFormat="false" ht="19.7" hidden="false" customHeight="false" outlineLevel="0" collapsed="false">
      <c r="A1" s="1" t="s">
        <v>257</v>
      </c>
    </row>
    <row r="2" customFormat="false" ht="30" hidden="false" customHeight="true" outlineLevel="0" collapsed="false">
      <c r="A2" s="2" t="s">
        <v>258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5" t="s">
        <v>208</v>
      </c>
      <c r="B4" s="6"/>
      <c r="C4" s="6"/>
      <c r="D4" s="6"/>
      <c r="E4" s="6"/>
      <c r="F4" s="6"/>
      <c r="G4" s="6"/>
      <c r="H4" s="6"/>
      <c r="I4" s="6"/>
    </row>
    <row r="5" customFormat="false" ht="57.75" hidden="false" customHeight="true" outlineLevel="0" collapsed="false">
      <c r="A5" s="7" t="s">
        <v>15</v>
      </c>
      <c r="B5" s="7" t="s">
        <v>259</v>
      </c>
      <c r="C5" s="7" t="s">
        <v>210</v>
      </c>
      <c r="D5" s="7" t="s">
        <v>260</v>
      </c>
      <c r="E5" s="7" t="s">
        <v>210</v>
      </c>
      <c r="F5" s="7" t="s">
        <v>261</v>
      </c>
      <c r="G5" s="7" t="s">
        <v>210</v>
      </c>
      <c r="H5" s="7" t="s">
        <v>262</v>
      </c>
      <c r="I5" s="7" t="s">
        <v>210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</row>
    <row r="7" customFormat="false" ht="15" hidden="false" customHeight="false" outlineLevel="0" collapsed="false">
      <c r="A7" s="8" t="s">
        <v>220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</row>
    <row r="8" customFormat="false" ht="15" hidden="false" customHeight="false" outlineLevel="0" collapsed="false">
      <c r="A8" s="8" t="s">
        <v>221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</row>
    <row r="9" customFormat="false" ht="15" hidden="false" customHeight="false" outlineLevel="0" collapsed="false">
      <c r="A9" s="8" t="s">
        <v>222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</row>
    <row r="10" customFormat="false" ht="15" hidden="false" customHeight="false" outlineLevel="0" collapsed="false">
      <c r="A10" s="10" t="s">
        <v>223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</row>
    <row r="11" customFormat="false" ht="15" hidden="false" customHeight="false" outlineLevel="0" collapsed="false">
      <c r="A11" s="10" t="s">
        <v>224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</row>
    <row r="12" customFormat="false" ht="15" hidden="false" customHeight="false" outlineLevel="0" collapsed="false">
      <c r="A12" s="10" t="s">
        <v>225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</row>
    <row r="13" customFormat="false" ht="15" hidden="false" customHeight="false" outlineLevel="0" collapsed="false">
      <c r="A13" s="11" t="s">
        <v>226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</row>
    <row r="14" customFormat="false" ht="15" hidden="false" customHeight="false" outlineLevel="0" collapsed="false">
      <c r="A14" s="11" t="s">
        <v>227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</row>
    <row r="15" customFormat="false" ht="15" hidden="false" customHeight="false" outlineLevel="0" collapsed="false">
      <c r="A15" s="11" t="s">
        <v>228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</row>
    <row r="16" customFormat="false" ht="15" hidden="false" customHeight="false" outlineLevel="0" collapsed="false">
      <c r="A16" s="22" t="s">
        <v>229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</row>
    <row r="18" customFormat="false" ht="15" hidden="false" customHeight="false" outlineLevel="0" collapsed="false">
      <c r="A18" s="5" t="s">
        <v>4</v>
      </c>
      <c r="B18" s="6"/>
      <c r="C18" s="6"/>
      <c r="D18" s="6"/>
      <c r="E18" s="6"/>
      <c r="F18" s="6"/>
      <c r="G18" s="6"/>
      <c r="H18" s="6"/>
      <c r="I18" s="6"/>
    </row>
    <row r="19" customFormat="false" ht="57.75" hidden="false" customHeight="true" outlineLevel="0" collapsed="false">
      <c r="A19" s="7" t="s">
        <v>15</v>
      </c>
      <c r="B19" s="7" t="s">
        <v>259</v>
      </c>
      <c r="C19" s="7" t="s">
        <v>210</v>
      </c>
      <c r="D19" s="7" t="s">
        <v>260</v>
      </c>
      <c r="E19" s="7" t="s">
        <v>210</v>
      </c>
      <c r="F19" s="7" t="s">
        <v>261</v>
      </c>
      <c r="G19" s="7" t="s">
        <v>210</v>
      </c>
      <c r="H19" s="7" t="s">
        <v>262</v>
      </c>
      <c r="I19" s="7" t="s">
        <v>210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</row>
    <row r="23" customFormat="false" ht="15" hidden="false" customHeight="false" outlineLevel="0" collapsed="false">
      <c r="A23" s="22" t="s">
        <v>229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</row>
    <row r="25" customFormat="false" ht="15" hidden="false" customHeight="false" outlineLevel="0" collapsed="false">
      <c r="A25" s="5" t="s">
        <v>6</v>
      </c>
      <c r="B25" s="6"/>
      <c r="C25" s="6"/>
      <c r="D25" s="6"/>
      <c r="E25" s="6"/>
      <c r="F25" s="6"/>
      <c r="G25" s="6"/>
      <c r="H25" s="6"/>
      <c r="I25" s="6"/>
    </row>
    <row r="26" customFormat="false" ht="57.75" hidden="false" customHeight="true" outlineLevel="0" collapsed="false">
      <c r="A26" s="7" t="s">
        <v>15</v>
      </c>
      <c r="B26" s="7" t="s">
        <v>259</v>
      </c>
      <c r="C26" s="7" t="s">
        <v>210</v>
      </c>
      <c r="D26" s="7" t="s">
        <v>260</v>
      </c>
      <c r="E26" s="7" t="s">
        <v>210</v>
      </c>
      <c r="F26" s="7" t="s">
        <v>261</v>
      </c>
      <c r="G26" s="7" t="s">
        <v>210</v>
      </c>
      <c r="H26" s="7" t="s">
        <v>262</v>
      </c>
      <c r="I26" s="7" t="s">
        <v>210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</row>
    <row r="30" customFormat="false" ht="15" hidden="false" customHeight="false" outlineLevel="0" collapsed="false">
      <c r="A30" s="22" t="s">
        <v>229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</row>
    <row r="32" customFormat="false" ht="15" hidden="false" customHeight="true" outlineLevel="0" collapsed="false">
      <c r="A32" s="2" t="s">
        <v>263</v>
      </c>
      <c r="B32" s="2"/>
      <c r="C32" s="2"/>
      <c r="D32" s="2"/>
      <c r="E32" s="2"/>
      <c r="F32" s="2"/>
      <c r="G32" s="2"/>
      <c r="H32" s="2"/>
      <c r="I32" s="2"/>
    </row>
  </sheetData>
  <mergeCells count="2">
    <mergeCell ref="A2:I2"/>
    <mergeCell ref="A32:I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2026-10-25T11:33:07Z</dcterms:created>
  <dc:creator>openpyxl</dc:creator>
  <dc:description/>
  <dc:language>en-GB</dc:language>
  <cp:lastModifiedBy/>
  <dcterms:modified xsi:type="dcterms:W3CDTF">2026-10-25T11:33:07Z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