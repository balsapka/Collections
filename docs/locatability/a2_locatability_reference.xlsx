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ogic" sheetId="2" state="visible" r:id="rId2"/>
    <sheet name="Examples" sheetId="3" state="visible" r:id="rId3"/>
    <sheet name="Changes" sheetId="4" state="visible" r:id="rId4"/>
    <sheet name="Results" sheetId="5" state="visible" r:id="rId5"/>
    <sheet name="Results detail" sheetId="6" state="visible" r:id="rId6"/>
    <sheet name="Results trend" sheetId="7" state="visible" r:id="rId7"/>
    <sheet name="Results 180+ vint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7F7F7F"/>
      <sz val="10"/>
    </font>
    <font>
      <name val="Arial"/>
      <b val="1"/>
      <color rgb="001F3864"/>
      <sz val="10"/>
    </font>
    <font>
      <name val="Arial"/>
      <color rgb="00262626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375623"/>
      <sz val="10"/>
    </font>
    <font>
      <name val="Arial"/>
      <color rgb="007F7F7F"/>
      <sz val="10"/>
    </font>
    <font>
      <name val="Arial"/>
      <b val="1"/>
      <color rgb="009C2B12"/>
      <sz val="10"/>
    </font>
    <font>
      <name val="Arial"/>
      <b val="1"/>
      <color rgb="00595959"/>
      <sz val="10"/>
    </font>
    <font>
      <name val="Arial"/>
      <b val="1"/>
      <color rgb="00262626"/>
      <sz val="10"/>
    </font>
    <font>
      <name val="Arial"/>
      <b val="1"/>
      <color rgb="007F7F7F"/>
      <sz val="10"/>
    </font>
    <font>
      <name val="Arial"/>
      <color rgb="00375623"/>
      <sz val="10"/>
    </font>
    <font>
      <name val="Arial"/>
      <color rgb="009C2B12"/>
      <sz val="10"/>
    </font>
    <font>
      <name val="Arial"/>
      <color rgb="00595959"/>
      <sz val="10"/>
    </font>
    <font>
      <name val="Arial"/>
      <color rgb="000000FF"/>
      <sz val="10"/>
    </font>
  </fonts>
  <fills count="11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2EFDA"/>
        <bgColor rgb="00E2EFDA"/>
      </patternFill>
    </fill>
    <fill>
      <patternFill patternType="solid">
        <fgColor rgb="00FBE2D5"/>
        <bgColor rgb="00FBE2D5"/>
      </patternFill>
    </fill>
    <fill>
      <patternFill patternType="solid">
        <fgColor rgb="00EDEDED"/>
        <bgColor rgb="00EDEDED"/>
      </patternFill>
    </fill>
    <fill>
      <patternFill patternType="solid">
        <fgColor rgb="00404040"/>
        <bgColor rgb="00404040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6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7" fillId="3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9" fillId="4" borderId="2" applyAlignment="1" pivotButton="0" quotePrefix="0" xfId="0">
      <alignment vertical="center" wrapText="1"/>
    </xf>
    <xf numFmtId="0" fontId="10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0" fontId="7" fillId="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0" borderId="2" applyAlignment="1" pivotButton="0" quotePrefix="0" xfId="0">
      <alignment vertical="center" wrapText="1"/>
    </xf>
    <xf numFmtId="0" fontId="3" fillId="7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vertical="center" wrapText="1"/>
    </xf>
    <xf numFmtId="0" fontId="11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12" fillId="0" borderId="0" applyAlignment="1" pivotButton="0" quotePrefix="0" xfId="0">
      <alignment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3" fontId="16" fillId="10" borderId="2" applyAlignment="1" pivotButton="0" quotePrefix="0" xfId="0">
      <alignment vertical="top" wrapText="1"/>
    </xf>
    <xf numFmtId="164" fontId="8" fillId="0" borderId="2" applyAlignment="1" pivotButton="0" quotePrefix="0" xfId="0">
      <alignment vertical="top" wrapText="1"/>
    </xf>
    <xf numFmtId="3" fontId="4" fillId="0" borderId="2" applyAlignment="1" pivotButton="0" quotePrefix="0" xfId="0">
      <alignment vertical="top" wrapText="1"/>
    </xf>
    <xf numFmtId="3" fontId="11" fillId="0" borderId="2" applyAlignment="1" pivotButton="0" quotePrefix="0" xfId="0">
      <alignment vertical="top" wrapText="1"/>
    </xf>
    <xf numFmtId="164" fontId="11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A2 Locatability</t>
        </is>
      </c>
    </row>
    <row r="2" ht="33" customHeight="1">
      <c r="A2" s="2" t="inlineStr">
        <is>
          <t>Can we find the customer, and can we reach them? Two independent dimensions and a deceased override; every account in scope gets a value on each.</t>
        </is>
      </c>
    </row>
    <row r="4" ht="19.5" customHeight="1">
      <c r="A4" s="3" t="inlineStr">
        <is>
          <t>Scope</t>
        </is>
      </c>
      <c r="B4" s="4" t="inlineStr">
        <is>
          <t>Credit cards and retail loans (Personal Loans, Personal Cash Loans, Auto) at 61–180 DPD and 180+ DPD.</t>
        </is>
      </c>
    </row>
    <row r="5" ht="33" customHeight="1">
      <c r="A5" s="3" t="inlineStr">
        <is>
          <t>Location</t>
        </is>
      </c>
      <c r="B5" s="4" t="inlineStr">
        <is>
          <t>Where the customer is, from what they do: logins, in-person card use, travel purchases and collector notes.</t>
        </is>
      </c>
    </row>
    <row r="6" ht="19.5" customHeight="1">
      <c r="A6" s="3" t="inlineStr">
        <is>
          <t>Reachability</t>
        </is>
      </c>
      <c r="B6" s="4" t="inlineStr">
        <is>
          <t>Whether our calls get through, from the collections call log.</t>
        </is>
      </c>
    </row>
    <row r="7" ht="19.5" customHeight="1">
      <c r="A7" s="3" t="inlineStr">
        <is>
          <t>Principle</t>
        </is>
      </c>
      <c r="B7" s="4" t="inlineStr">
        <is>
          <t>On both dimensions the latest evidence wins.</t>
        </is>
      </c>
    </row>
    <row r="9" ht="20" customHeight="1">
      <c r="A9" s="5" t="inlineStr">
        <is>
          <t>States</t>
        </is>
      </c>
      <c r="B9" s="6" t="n"/>
      <c r="C9" s="6" t="n"/>
      <c r="D9" s="6" t="n"/>
    </row>
    <row r="10" ht="20" customHeight="1">
      <c r="A10" s="7" t="inlineStr">
        <is>
          <t>State</t>
        </is>
      </c>
      <c r="B10" s="7" t="inlineStr">
        <is>
          <t>Dimension</t>
        </is>
      </c>
      <c r="C10" s="7" t="inlineStr">
        <is>
          <t>Meaning</t>
        </is>
      </c>
      <c r="D10" s="8" t="n"/>
    </row>
    <row r="11" ht="20" customHeight="1">
      <c r="A11" s="9" t="inlineStr">
        <is>
          <t>In Country</t>
        </is>
      </c>
      <c r="B11" s="10" t="inlineStr">
        <is>
          <t>Location</t>
        </is>
      </c>
      <c r="C11" s="11" t="inlineStr">
        <is>
          <t>The latest evidence places the customer in the UAE, recently.</t>
        </is>
      </c>
      <c r="D11" s="8" t="n"/>
    </row>
    <row r="12" ht="20" customHeight="1">
      <c r="A12" s="12" t="inlineStr">
        <is>
          <t>Skip</t>
        </is>
      </c>
      <c r="B12" s="10" t="inlineStr">
        <is>
          <t>Location</t>
        </is>
      </c>
      <c r="C12" s="11" t="inlineStr">
        <is>
          <t>The latest evidence places the customer abroad (however old), or they went silent soon after buying a ticket.</t>
        </is>
      </c>
      <c r="D12" s="8" t="n"/>
    </row>
    <row r="13" ht="20" customHeight="1">
      <c r="A13" s="13" t="inlineStr">
        <is>
          <t>Unknown</t>
        </is>
      </c>
      <c r="B13" s="10" t="inlineStr">
        <is>
          <t>Location</t>
        </is>
      </c>
      <c r="C13" s="11" t="inlineStr">
        <is>
          <t>No evidence, or the latest UAE evidence is older than the window.</t>
        </is>
      </c>
      <c r="D13" s="8" t="n"/>
    </row>
    <row r="14" ht="20" customHeight="1">
      <c r="A14" s="9" t="inlineStr">
        <is>
          <t>Reachable</t>
        </is>
      </c>
      <c r="B14" s="10" t="inlineStr">
        <is>
          <t>Reachability</t>
        </is>
      </c>
      <c r="C14" s="11" t="inlineStr">
        <is>
          <t>We were in contact with the customer recently.</t>
        </is>
      </c>
      <c r="D14" s="8" t="n"/>
    </row>
    <row r="15" ht="20" customHeight="1">
      <c r="A15" s="12" t="inlineStr">
        <is>
          <t>Non-Reachable</t>
        </is>
      </c>
      <c r="B15" s="10" t="inlineStr">
        <is>
          <t>Reachability</t>
        </is>
      </c>
      <c r="C15" s="11" t="inlineStr">
        <is>
          <t>The last 3 days we called all failed, with no confirmed contact since.</t>
        </is>
      </c>
      <c r="D15" s="8" t="n"/>
    </row>
    <row r="16" ht="20" customHeight="1">
      <c r="A16" s="13" t="inlineStr">
        <is>
          <t>Unknown</t>
        </is>
      </c>
      <c r="B16" s="10" t="inlineStr">
        <is>
          <t>Reachability</t>
        </is>
      </c>
      <c r="C16" s="11" t="inlineStr">
        <is>
          <t>Not enough recent call evidence either way.</t>
        </is>
      </c>
      <c r="D16" s="8" t="n"/>
    </row>
    <row r="17" ht="20" customHeight="1">
      <c r="A17" s="14" t="inlineStr">
        <is>
          <t>Deceased</t>
        </is>
      </c>
      <c r="B17" s="10" t="inlineStr">
        <is>
          <t>Override</t>
        </is>
      </c>
      <c r="C17" s="11" t="inlineStr">
        <is>
          <t>Reported deceased. Overrides both dimensions.</t>
        </is>
      </c>
      <c r="D17" s="8" t="n"/>
    </row>
    <row r="19" ht="20" customHeight="1">
      <c r="A19" s="5" t="inlineStr">
        <is>
          <t>Combined state and the action it points to</t>
        </is>
      </c>
      <c r="B19" s="6" t="n"/>
      <c r="C19" s="6" t="n"/>
      <c r="D19" s="6" t="n"/>
    </row>
    <row r="20" ht="20" customHeight="1">
      <c r="A20" s="7" t="inlineStr">
        <is>
          <t>Location \ Reachability</t>
        </is>
      </c>
      <c r="B20" s="15" t="inlineStr">
        <is>
          <t>Reachable</t>
        </is>
      </c>
      <c r="C20" s="16" t="inlineStr">
        <is>
          <t>Non-Reachable</t>
        </is>
      </c>
      <c r="D20" s="17" t="inlineStr">
        <is>
          <t>Unknown</t>
        </is>
      </c>
    </row>
    <row r="21" ht="30" customHeight="1">
      <c r="A21" s="9" t="inlineStr">
        <is>
          <t>In Country</t>
        </is>
      </c>
      <c r="B21" s="11" t="inlineStr">
        <is>
          <t>Negotiate; ability and credibility set the offer.</t>
        </is>
      </c>
      <c r="C21" s="11" t="inlineStr">
        <is>
          <t>Skip-trace the number; field visit.</t>
        </is>
      </c>
      <c r="D21" s="11" t="inlineStr">
        <is>
          <t>Keep calling.</t>
        </is>
      </c>
    </row>
    <row r="22" ht="30" customHeight="1">
      <c r="A22" s="12" t="inlineStr">
        <is>
          <t>Skip</t>
        </is>
      </c>
      <c r="B22" s="11" t="inlineStr">
        <is>
          <t>Remote settlement; international payment route.</t>
        </is>
      </c>
      <c r="C22" s="11" t="inlineStr">
        <is>
          <t>International recovery agency; legal.</t>
        </is>
      </c>
      <c r="D22" s="11" t="inlineStr">
        <is>
          <t>Verify the departure.</t>
        </is>
      </c>
    </row>
    <row r="23" ht="30" customHeight="1">
      <c r="A23" s="13" t="inlineStr">
        <is>
          <t>Unknown</t>
        </is>
      </c>
      <c r="B23" s="11" t="inlineStr">
        <is>
          <t>Negotiate and confirm where they are.</t>
        </is>
      </c>
      <c r="C23" s="11" t="inlineStr">
        <is>
          <t>Skip-trace the customer and the number.</t>
        </is>
      </c>
      <c r="D23" s="11" t="inlineStr">
        <is>
          <t>Data gap: act on the other persona axes.</t>
        </is>
      </c>
    </row>
    <row r="24" ht="20" customHeight="1">
      <c r="A24" s="14" t="inlineStr">
        <is>
          <t>Deceased</t>
        </is>
      </c>
      <c r="B24" s="11" t="inlineStr">
        <is>
          <t>Estate or insurance process.</t>
        </is>
      </c>
      <c r="C24" s="18" t="n"/>
      <c r="D24" s="8" t="n"/>
    </row>
    <row r="26" ht="19.5" customHeight="1">
      <c r="A26" s="2" t="inlineStr">
        <is>
          <t>9 combinations + Deceased = 10 combined states. Rules: 'Logic'. Shares: 'Results'.</t>
        </is>
      </c>
    </row>
  </sheetData>
  <mergeCells count="15">
    <mergeCell ref="C12:D12"/>
    <mergeCell ref="B5:D5"/>
    <mergeCell ref="C10:D10"/>
    <mergeCell ref="C16:D16"/>
    <mergeCell ref="C15:D15"/>
    <mergeCell ref="C11:D11"/>
    <mergeCell ref="A26:D26"/>
    <mergeCell ref="B4:D4"/>
    <mergeCell ref="C14:D14"/>
    <mergeCell ref="C13:D13"/>
    <mergeCell ref="A2:D2"/>
    <mergeCell ref="B7:D7"/>
    <mergeCell ref="C17:D17"/>
    <mergeCell ref="B6:D6"/>
    <mergeCell ref="B24:D2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6" customWidth="1" min="2" max="2"/>
    <col width="16" customWidth="1" min="3" max="3"/>
    <col width="26" customWidth="1" min="4" max="4"/>
  </cols>
  <sheetData>
    <row r="1">
      <c r="A1" s="1" t="inlineStr">
        <is>
          <t>Logic</t>
        </is>
      </c>
    </row>
    <row r="2" ht="33" customHeight="1">
      <c r="A2" s="2" t="inlineStr">
        <is>
          <t>What the model computes for each account at the scoring date, and the rules that turn it into states. Within a dimension, the first rule that holds decides.</t>
        </is>
      </c>
    </row>
    <row r="4" ht="20" customHeight="1">
      <c r="A4" s="5" t="inlineStr">
        <is>
          <t>Evidence</t>
        </is>
      </c>
      <c r="B4" s="6" t="n"/>
      <c r="C4" s="6" t="n"/>
      <c r="D4" s="6" t="n"/>
    </row>
    <row r="5" ht="20" customHeight="1">
      <c r="A5" s="7" t="inlineStr">
        <is>
          <t>Event</t>
        </is>
      </c>
      <c r="B5" s="8" t="n"/>
      <c r="C5" s="7" t="inlineStr">
        <is>
          <t>Counts as</t>
        </is>
      </c>
      <c r="D5" s="7" t="inlineStr">
        <is>
          <t>Dimension</t>
        </is>
      </c>
    </row>
    <row r="6" ht="20" customHeight="1">
      <c r="A6" s="11" t="inlineStr">
        <is>
          <t>Login from the UAE (digital banking)</t>
        </is>
      </c>
      <c r="B6" s="8" t="n"/>
      <c r="C6" s="9" t="inlineStr">
        <is>
          <t>UAE evidence</t>
        </is>
      </c>
      <c r="D6" s="10" t="inlineStr">
        <is>
          <t>Location</t>
        </is>
      </c>
    </row>
    <row r="7" ht="46.5" customHeight="1">
      <c r="A7" s="11" t="inlineStr">
        <is>
          <t>In-person card use in the UAE, on any of the customer's cards and accounts: credit card cash / ATM or a purchase at a grocery, fuel, restaurant, pharmacy, transport or department store; debit card shop-terminal payment or ATM withdrawal</t>
        </is>
      </c>
      <c r="B7" s="8" t="n"/>
      <c r="C7" s="9" t="inlineStr">
        <is>
          <t>UAE evidence</t>
        </is>
      </c>
      <c r="D7" s="10" t="inlineStr">
        <is>
          <t>Location</t>
        </is>
      </c>
    </row>
    <row r="8" ht="20" customHeight="1">
      <c r="A8" s="11" t="inlineStr">
        <is>
          <t>Login from abroad</t>
        </is>
      </c>
      <c r="B8" s="8" t="n"/>
      <c r="C8" s="12" t="inlineStr">
        <is>
          <t>Foreign evidence</t>
        </is>
      </c>
      <c r="D8" s="10" t="inlineStr">
        <is>
          <t>Location</t>
        </is>
      </c>
    </row>
    <row r="9" ht="20" customHeight="1">
      <c r="A9" s="11" t="inlineStr">
        <is>
          <t>The same in-person card use, abroad</t>
        </is>
      </c>
      <c r="B9" s="8" t="n"/>
      <c r="C9" s="12" t="inlineStr">
        <is>
          <t>Foreign evidence</t>
        </is>
      </c>
      <c r="D9" s="10" t="inlineStr">
        <is>
          <t>Location</t>
        </is>
      </c>
    </row>
    <row r="10" ht="20" customHeight="1">
      <c r="A10" s="11" t="inlineStr">
        <is>
          <t>Collector note: customer left the country (final exit visa included)</t>
        </is>
      </c>
      <c r="B10" s="8" t="n"/>
      <c r="C10" s="12" t="inlineStr">
        <is>
          <t>Foreign evidence</t>
        </is>
      </c>
      <c r="D10" s="10" t="inlineStr">
        <is>
          <t>Location</t>
        </is>
      </c>
    </row>
    <row r="11" ht="20" customHeight="1">
      <c r="A11" s="11" t="inlineStr">
        <is>
          <t>Travel purchase (airline, cruise, travel agency), any channel, any card</t>
        </is>
      </c>
      <c r="B11" s="8" t="n"/>
      <c r="C11" s="12" t="inlineStr">
        <is>
          <t>Departure signal</t>
        </is>
      </c>
      <c r="D11" s="10" t="inlineStr">
        <is>
          <t>Location</t>
        </is>
      </c>
    </row>
    <row r="12" ht="33" customHeight="1">
      <c r="A12" s="11" t="inlineStr">
        <is>
          <t>Customer called us, a call marked successful, or a result only the customer can give (promise to pay, dispute, settlement request, …)</t>
        </is>
      </c>
      <c r="B12" s="8" t="n"/>
      <c r="C12" s="9" t="inlineStr">
        <is>
          <t>Confirmed contact</t>
        </is>
      </c>
      <c r="D12" s="10" t="inlineStr">
        <is>
          <t>Reachability</t>
        </is>
      </c>
    </row>
    <row r="13" ht="33" customHeight="1">
      <c r="A13" s="11" t="inlineStr">
        <is>
          <t>A day we called and every call rang out, went unanswered (message left included) or hit a dead line (switched off, wrong or invalid number)</t>
        </is>
      </c>
      <c r="B13" s="8" t="n"/>
      <c r="C13" s="12" t="inlineStr">
        <is>
          <t>Failed call day</t>
        </is>
      </c>
      <c r="D13" s="10" t="inlineStr">
        <is>
          <t>Reachability</t>
        </is>
      </c>
    </row>
    <row r="14" ht="20" customHeight="1">
      <c r="A14" s="11" t="inlineStr">
        <is>
          <t>A call that connected but was not marked successful, or busy</t>
        </is>
      </c>
      <c r="B14" s="8" t="n"/>
      <c r="C14" s="13" t="inlineStr">
        <is>
          <t>Neutral call day</t>
        </is>
      </c>
      <c r="D14" s="10" t="inlineStr">
        <is>
          <t>Reachability</t>
        </is>
      </c>
    </row>
    <row r="15" ht="33" customHeight="1">
      <c r="A15" s="11" t="inlineStr">
        <is>
          <t>Collector note of death (claims included), card blocked as deceased (Way4 block D), or customer record marked deceased</t>
        </is>
      </c>
      <c r="B15" s="8" t="n"/>
      <c r="C15" s="14" t="inlineStr">
        <is>
          <t>Deceased</t>
        </is>
      </c>
      <c r="D15" s="10" t="inlineStr">
        <is>
          <t>Override</t>
        </is>
      </c>
    </row>
    <row r="16" ht="60" customHeight="1">
      <c r="A16" s="2" t="inlineStr">
        <is>
          <t>Every event is dated and counts at any age; the rules decide how recent it must be. A ticket is bought weeks before the flight, so it is not compared with UAE activity by date: it is used only by the travel rule (Location, rule 2). Ignored: logins with no country, online purchases, transfers and remittances, incoming money, salary, and collector admin entries (result not found, follow up, e-mail sent, legal / repossession, skip-trace status).</t>
        </is>
      </c>
    </row>
    <row r="18" ht="20" customHeight="1">
      <c r="A18" s="5" t="inlineStr">
        <is>
          <t>Features</t>
        </is>
      </c>
      <c r="B18" s="6" t="n"/>
      <c r="C18" s="6" t="n"/>
      <c r="D18" s="6" t="n"/>
    </row>
    <row r="19" ht="20" customHeight="1">
      <c r="A19" s="7" t="inlineStr">
        <is>
          <t>Feature</t>
        </is>
      </c>
      <c r="B19" s="7" t="inlineStr">
        <is>
          <t>Definition</t>
        </is>
      </c>
      <c r="C19" s="8" t="n"/>
      <c r="D19" s="7" t="inlineStr">
        <is>
          <t>Dimension</t>
        </is>
      </c>
    </row>
    <row r="20" ht="20" customHeight="1">
      <c r="A20" s="19" t="inlineStr">
        <is>
          <t>Latest UAE evidence</t>
        </is>
      </c>
      <c r="B20" s="11" t="inlineStr">
        <is>
          <t>Date of the most recent UAE evidence.</t>
        </is>
      </c>
      <c r="C20" s="8" t="n"/>
      <c r="D20" s="10" t="inlineStr">
        <is>
          <t>Location</t>
        </is>
      </c>
    </row>
    <row r="21" ht="20" customHeight="1">
      <c r="A21" s="19" t="inlineStr">
        <is>
          <t>Latest foreign evidence</t>
        </is>
      </c>
      <c r="B21" s="11" t="inlineStr">
        <is>
          <t>Date of the most recent foreign evidence.</t>
        </is>
      </c>
      <c r="C21" s="8" t="n"/>
      <c r="D21" s="10" t="inlineStr">
        <is>
          <t>Location</t>
        </is>
      </c>
    </row>
    <row r="22" ht="20" customHeight="1">
      <c r="A22" s="19" t="inlineStr">
        <is>
          <t>Last travel purchase</t>
        </is>
      </c>
      <c r="B22" s="11" t="inlineStr">
        <is>
          <t>Date of the most recent departure signal.</t>
        </is>
      </c>
      <c r="C22" s="8" t="n"/>
      <c r="D22" s="10" t="inlineStr">
        <is>
          <t>Location</t>
        </is>
      </c>
    </row>
    <row r="23" ht="20" customHeight="1">
      <c r="A23" s="19" t="inlineStr">
        <is>
          <t>Last confirmed contact</t>
        </is>
      </c>
      <c r="B23" s="11" t="inlineStr">
        <is>
          <t>Date of the most recent confirmed contact with the customer.</t>
        </is>
      </c>
      <c r="C23" s="8" t="n"/>
      <c r="D23" s="10" t="inlineStr">
        <is>
          <t>Reachability</t>
        </is>
      </c>
    </row>
    <row r="24" ht="20" customHeight="1">
      <c r="A24" s="19" t="inlineStr">
        <is>
          <t>Last 3 call days</t>
        </is>
      </c>
      <c r="B24" s="11" t="inlineStr">
        <is>
          <t>The 3 most recent days we called, each failed or not.</t>
        </is>
      </c>
      <c r="C24" s="8" t="n"/>
      <c r="D24" s="10" t="inlineStr">
        <is>
          <t>Reachability</t>
        </is>
      </c>
    </row>
    <row r="25" ht="20" customHeight="1">
      <c r="A25" s="19" t="inlineStr">
        <is>
          <t>Deceased flag</t>
        </is>
      </c>
      <c r="B25" s="11" t="inlineStr">
        <is>
          <t>Any deceased evidence, at any date.</t>
        </is>
      </c>
      <c r="C25" s="8" t="n"/>
      <c r="D25" s="10" t="inlineStr">
        <is>
          <t>Override</t>
        </is>
      </c>
    </row>
    <row r="27" ht="20" customHeight="1">
      <c r="A27" s="5" t="inlineStr">
        <is>
          <t>Location</t>
        </is>
      </c>
      <c r="B27" s="6" t="n"/>
      <c r="C27" s="6" t="n"/>
      <c r="D27" s="6" t="n"/>
    </row>
    <row r="28" ht="33" customHeight="1">
      <c r="A28" s="20" t="inlineStr">
        <is>
          <t>Rule 1</t>
        </is>
      </c>
      <c r="B28" s="21" t="inlineStr">
        <is>
          <t>There is foreign evidence, and it is on or after the date of the latest UAE evidence (on the same day, foreign wins).</t>
        </is>
      </c>
      <c r="C28" s="8" t="n"/>
      <c r="D28" s="12" t="inlineStr">
        <is>
          <t>Skip</t>
        </is>
      </c>
    </row>
    <row r="29" ht="33" customHeight="1">
      <c r="A29" s="20" t="inlineStr">
        <is>
          <t>Rule 2</t>
        </is>
      </c>
      <c r="B29" s="21" t="inlineStr">
        <is>
          <t>Travel rule: the latest UAE evidence is at most 3 months after the last travel purchase (or there is none), and no UAE evidence for at least 1 month since.</t>
        </is>
      </c>
      <c r="C29" s="8" t="n"/>
      <c r="D29" s="12" t="inlineStr">
        <is>
          <t>Skip</t>
        </is>
      </c>
    </row>
    <row r="30" ht="22" customHeight="1">
      <c r="A30" s="20" t="inlineStr">
        <is>
          <t>Rule 3</t>
        </is>
      </c>
      <c r="B30" s="21" t="inlineStr">
        <is>
          <t>The latest evidence is UAE evidence within the window.</t>
        </is>
      </c>
      <c r="C30" s="8" t="n"/>
      <c r="D30" s="9" t="inlineStr">
        <is>
          <t>In Country</t>
        </is>
      </c>
    </row>
    <row r="31" ht="33" customHeight="1">
      <c r="A31" s="20" t="inlineStr">
        <is>
          <t>Rule 4</t>
        </is>
      </c>
      <c r="B31" s="21" t="inlineStr">
        <is>
          <t>Otherwise: no evidence at all, or the latest UAE evidence is older than the window.</t>
        </is>
      </c>
      <c r="C31" s="8" t="n"/>
      <c r="D31" s="13" t="inlineStr">
        <is>
          <t>Unknown</t>
        </is>
      </c>
    </row>
    <row r="33" ht="20" customHeight="1">
      <c r="A33" s="5" t="inlineStr">
        <is>
          <t>Reachability</t>
        </is>
      </c>
      <c r="B33" s="6" t="n"/>
      <c r="C33" s="6" t="n"/>
      <c r="D33" s="6" t="n"/>
    </row>
    <row r="34" ht="33" customHeight="1">
      <c r="A34" s="20" t="inlineStr">
        <is>
          <t>Rule 1</t>
        </is>
      </c>
      <c r="B34" s="21" t="inlineStr">
        <is>
          <t>Last 3 call days all failed, the oldest within the window, and no confirmed contact since.</t>
        </is>
      </c>
      <c r="C34" s="8" t="n"/>
      <c r="D34" s="12" t="inlineStr">
        <is>
          <t>Non-Reachable</t>
        </is>
      </c>
    </row>
    <row r="35" ht="33" customHeight="1">
      <c r="A35" s="20" t="inlineStr">
        <is>
          <t>Rule 2</t>
        </is>
      </c>
      <c r="B35" s="21" t="inlineStr">
        <is>
          <t>The last confirmed contact with the customer (they called us, a call marked successful, or a result only the customer can give) is within the window.</t>
        </is>
      </c>
      <c r="C35" s="8" t="n"/>
      <c r="D35" s="9" t="inlineStr">
        <is>
          <t>Reachable</t>
        </is>
      </c>
    </row>
    <row r="36" ht="22" customHeight="1">
      <c r="A36" s="20" t="inlineStr">
        <is>
          <t>Rule 3</t>
        </is>
      </c>
      <c r="B36" s="21" t="inlineStr">
        <is>
          <t>Otherwise.</t>
        </is>
      </c>
      <c r="C36" s="8" t="n"/>
      <c r="D36" s="13" t="inlineStr">
        <is>
          <t>Unknown</t>
        </is>
      </c>
    </row>
    <row r="38" ht="20" customHeight="1">
      <c r="A38" s="5" t="inlineStr">
        <is>
          <t>Deceased</t>
        </is>
      </c>
      <c r="B38" s="6" t="n"/>
      <c r="C38" s="6" t="n"/>
      <c r="D38" s="6" t="n"/>
    </row>
    <row r="39" ht="22" customHeight="1">
      <c r="A39" s="20" t="inlineStr">
        <is>
          <t>Rule 1</t>
        </is>
      </c>
      <c r="B39" s="21" t="inlineStr">
        <is>
          <t>Deceased flag is set, at any date. Overrides both dimensions.</t>
        </is>
      </c>
      <c r="C39" s="8" t="n"/>
      <c r="D39" s="14" t="inlineStr">
        <is>
          <t>Deceased</t>
        </is>
      </c>
    </row>
    <row r="41" ht="20" customHeight="1">
      <c r="A41" s="5" t="inlineStr">
        <is>
          <t>Parameters</t>
        </is>
      </c>
      <c r="B41" s="6" t="n"/>
      <c r="C41" s="6" t="n"/>
      <c r="D41" s="6" t="n"/>
    </row>
    <row r="42" ht="20" customHeight="1">
      <c r="A42" s="7" t="inlineStr">
        <is>
          <t>Parameter</t>
        </is>
      </c>
      <c r="B42" s="7" t="inlineStr">
        <is>
          <t>Value</t>
        </is>
      </c>
      <c r="C42" s="8" t="n"/>
      <c r="D42" s="7" t="inlineStr">
        <is>
          <t>Why</t>
        </is>
      </c>
    </row>
    <row r="43" ht="33" customHeight="1">
      <c r="A43" s="22" t="inlineStr">
        <is>
          <t>Window</t>
        </is>
      </c>
      <c r="B43" s="23" t="inlineStr">
        <is>
          <t>3 months at 61–180 DPD, 6 months at 180+ DPD (scoring month included).</t>
        </is>
      </c>
      <c r="C43" s="8" t="n"/>
      <c r="D43" s="24" t="inlineStr">
        <is>
          <t>Same as the other axes; activity is thinner at 180+.</t>
        </is>
      </c>
    </row>
    <row r="44" ht="33" customHeight="1">
      <c r="A44" s="22" t="inlineStr">
        <is>
          <t>Foreign evidence</t>
        </is>
      </c>
      <c r="B44" s="23" t="inlineStr">
        <is>
          <t>No age limit.</t>
        </is>
      </c>
      <c r="C44" s="8" t="n"/>
      <c r="D44" s="24" t="inlineStr">
        <is>
          <t>No sign of return means still abroad.</t>
        </is>
      </c>
    </row>
    <row r="45" ht="46.5" customHeight="1">
      <c r="A45" s="22" t="inlineStr">
        <is>
          <t>Travel rule: gap</t>
        </is>
      </c>
      <c r="B45" s="23" t="inlineStr">
        <is>
          <t>UAE activity ends at most 3 months after the ticket.</t>
        </is>
      </c>
      <c r="C45" s="8" t="n"/>
      <c r="D45" s="24" t="inlineStr">
        <is>
          <t>Covers 82% (cards) / 84% (loans) of known leavers, about 5% of stayers.</t>
        </is>
      </c>
    </row>
    <row r="46" ht="46.5" customHeight="1">
      <c r="A46" s="22" t="inlineStr">
        <is>
          <t>Travel rule: silence</t>
        </is>
      </c>
      <c r="B46" s="23" t="inlineStr">
        <is>
          <t>At least 1 month without UAE evidence.</t>
        </is>
      </c>
      <c r="C46" s="8" t="n"/>
      <c r="D46" s="24" t="inlineStr">
        <is>
          <t>Keeps a customer who just bought a ticket and is still active out of Skip.</t>
        </is>
      </c>
    </row>
    <row r="47" ht="60" customHeight="1">
      <c r="A47" s="22" t="inlineStr">
        <is>
          <t>Failed call days</t>
        </is>
      </c>
      <c r="B47" s="23" t="inlineStr">
        <is>
          <t>The last 3 call days.</t>
        </is>
      </c>
      <c r="C47" s="8" t="n"/>
      <c r="D47" s="24" t="inlineStr">
        <is>
          <t>Fewer is not a pattern. 86% of accounts have 6+ call days in 3 months; sensitivity 1–10 days under check.</t>
        </is>
      </c>
    </row>
    <row r="48" ht="33" customHeight="1">
      <c r="A48" s="22" t="inlineStr">
        <is>
          <t>Confirmed contacts for Reachable</t>
        </is>
      </c>
      <c r="B48" s="23" t="inlineStr">
        <is>
          <t>1 is enough.</t>
        </is>
      </c>
      <c r="C48" s="8" t="n"/>
      <c r="D48" s="24" t="inlineStr">
        <is>
          <t>One recent confirmed contact shows they can be reached.</t>
        </is>
      </c>
    </row>
  </sheetData>
  <mergeCells count="35">
    <mergeCell ref="B47:C47"/>
    <mergeCell ref="A15:B15"/>
    <mergeCell ref="B25:C25"/>
    <mergeCell ref="A11:B11"/>
    <mergeCell ref="B46:C46"/>
    <mergeCell ref="B22:C22"/>
    <mergeCell ref="B31:C31"/>
    <mergeCell ref="A6:B6"/>
    <mergeCell ref="B43:C43"/>
    <mergeCell ref="B39:C39"/>
    <mergeCell ref="B21:C21"/>
    <mergeCell ref="B48:C48"/>
    <mergeCell ref="A7:B7"/>
    <mergeCell ref="B42:C42"/>
    <mergeCell ref="B23:C23"/>
    <mergeCell ref="A12:B12"/>
    <mergeCell ref="B44:C44"/>
    <mergeCell ref="B29:C29"/>
    <mergeCell ref="B19:C19"/>
    <mergeCell ref="B34:C34"/>
    <mergeCell ref="A5:B5"/>
    <mergeCell ref="B28:C28"/>
    <mergeCell ref="A14:B14"/>
    <mergeCell ref="A16:D16"/>
    <mergeCell ref="A8:B8"/>
    <mergeCell ref="B24:C24"/>
    <mergeCell ref="B30:C30"/>
    <mergeCell ref="B20:C20"/>
    <mergeCell ref="A10:B10"/>
    <mergeCell ref="B45:C45"/>
    <mergeCell ref="A13:B13"/>
    <mergeCell ref="B36:C36"/>
    <mergeCell ref="A2:D2"/>
    <mergeCell ref="A9:B9"/>
    <mergeCell ref="B35:C35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2" customWidth="1" min="15" max="15"/>
  </cols>
  <sheetData>
    <row r="1">
      <c r="A1" s="1" t="inlineStr">
        <is>
          <t>Examples (61–180 DPD, 3-month window)</t>
        </is>
      </c>
    </row>
    <row r="2" ht="20" customHeight="1">
      <c r="A2" s="2" t="inlineStr">
        <is>
          <t>One customer per row, oldest month on the left. The blue columns are the window. Green = favourable evidence, red = adverse.</t>
        </is>
      </c>
    </row>
    <row r="4" ht="20" customHeight="1">
      <c r="A4" s="5" t="inlineStr">
        <is>
          <t>Location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8" customHeight="1">
      <c r="A5" s="25" t="inlineStr">
        <is>
          <t>Codes</t>
        </is>
      </c>
      <c r="B5" s="26" t="inlineStr">
        <is>
          <t>U  UAE</t>
        </is>
      </c>
      <c r="C5" s="18" t="n"/>
      <c r="D5" s="8" t="n"/>
      <c r="E5" s="27" t="inlineStr">
        <is>
          <t>F  abroad</t>
        </is>
      </c>
      <c r="F5" s="18" t="n"/>
      <c r="G5" s="8" t="n"/>
      <c r="H5" s="27" t="inlineStr">
        <is>
          <t>T  travel</t>
        </is>
      </c>
      <c r="I5" s="18" t="n"/>
      <c r="J5" s="8" t="n"/>
      <c r="K5" s="27" t="inlineStr">
        <is>
          <t>X  left UAE</t>
        </is>
      </c>
      <c r="L5" s="18" t="n"/>
      <c r="M5" s="8" t="n"/>
    </row>
    <row r="6" ht="20" customHeight="1">
      <c r="A6" s="7" t="inlineStr">
        <is>
          <t>State</t>
        </is>
      </c>
      <c r="B6" s="7" t="inlineStr">
        <is>
          <t>-12</t>
        </is>
      </c>
      <c r="C6" s="7" t="inlineStr">
        <is>
          <t>-11</t>
        </is>
      </c>
      <c r="D6" s="7" t="inlineStr">
        <is>
          <t>-10</t>
        </is>
      </c>
      <c r="E6" s="7" t="inlineStr">
        <is>
          <t>-9</t>
        </is>
      </c>
      <c r="F6" s="7" t="inlineStr">
        <is>
          <t>-8</t>
        </is>
      </c>
      <c r="G6" s="7" t="inlineStr">
        <is>
          <t>-7</t>
        </is>
      </c>
      <c r="H6" s="7" t="inlineStr">
        <is>
          <t>-6</t>
        </is>
      </c>
      <c r="I6" s="7" t="inlineStr">
        <is>
          <t>-5</t>
        </is>
      </c>
      <c r="J6" s="7" t="inlineStr">
        <is>
          <t>-4</t>
        </is>
      </c>
      <c r="K6" s="7" t="inlineStr">
        <is>
          <t>-3</t>
        </is>
      </c>
      <c r="L6" s="28" t="inlineStr">
        <is>
          <t>-2</t>
        </is>
      </c>
      <c r="M6" s="28" t="inlineStr">
        <is>
          <t>-1</t>
        </is>
      </c>
      <c r="N6" s="28" t="inlineStr">
        <is>
          <t>Now</t>
        </is>
      </c>
      <c r="O6" s="7" t="inlineStr">
        <is>
          <t>Why</t>
        </is>
      </c>
    </row>
    <row r="7" ht="20" customHeight="1">
      <c r="A7" s="9" t="inlineStr">
        <is>
          <t>In Country</t>
        </is>
      </c>
      <c r="B7" s="29" t="n"/>
      <c r="C7" s="29" t="n"/>
      <c r="D7" s="29" t="n"/>
      <c r="E7" s="29" t="n"/>
      <c r="F7" s="29" t="n"/>
      <c r="G7" s="29" t="n"/>
      <c r="H7" s="16" t="inlineStr">
        <is>
          <t>F</t>
        </is>
      </c>
      <c r="I7" s="29" t="n"/>
      <c r="J7" s="29" t="n"/>
      <c r="K7" s="29" t="n"/>
      <c r="L7" s="30" t="n"/>
      <c r="M7" s="15" t="inlineStr">
        <is>
          <t>U</t>
        </is>
      </c>
      <c r="N7" s="30" t="n"/>
      <c r="O7" s="11" t="inlineStr">
        <is>
          <t>Abroad 6 months ago; card used in the UAE last month.</t>
        </is>
      </c>
    </row>
    <row r="8" ht="20" customHeight="1">
      <c r="A8" s="9" t="inlineStr">
        <is>
          <t>In Country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16" t="inlineStr">
        <is>
          <t>X</t>
        </is>
      </c>
      <c r="K8" s="29" t="n"/>
      <c r="L8" s="30" t="n"/>
      <c r="M8" s="30" t="n"/>
      <c r="N8" s="15" t="inlineStr">
        <is>
          <t>U</t>
        </is>
      </c>
      <c r="O8" s="11" t="inlineStr">
        <is>
          <t>Collector noted a departure; UAE login since.</t>
        </is>
      </c>
    </row>
    <row r="9" ht="20" customHeight="1">
      <c r="A9" s="9" t="inlineStr">
        <is>
          <t>In Country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30" t="n"/>
      <c r="M9" s="30" t="n"/>
      <c r="N9" s="15" t="inlineStr">
        <is>
          <t>T U</t>
        </is>
      </c>
      <c r="O9" s="11" t="inlineStr">
        <is>
          <t>Bought a flight this month and still active: not silent yet.</t>
        </is>
      </c>
    </row>
    <row r="10" ht="20" customHeight="1">
      <c r="A10" s="9" t="inlineStr">
        <is>
          <t>In Country</t>
        </is>
      </c>
      <c r="B10" s="29" t="n"/>
      <c r="C10" s="29" t="n"/>
      <c r="D10" s="29" t="n"/>
      <c r="E10" s="29" t="n"/>
      <c r="F10" s="29" t="n"/>
      <c r="G10" s="16" t="inlineStr">
        <is>
          <t>T</t>
        </is>
      </c>
      <c r="H10" s="29" t="n"/>
      <c r="I10" s="29" t="n"/>
      <c r="J10" s="29" t="n"/>
      <c r="K10" s="15" t="inlineStr">
        <is>
          <t>U</t>
        </is>
      </c>
      <c r="L10" s="30" t="n"/>
      <c r="M10" s="15" t="inlineStr">
        <is>
          <t>U</t>
        </is>
      </c>
      <c r="N10" s="30" t="n"/>
      <c r="O10" s="11" t="inlineStr">
        <is>
          <t>Flight bought, active for months after: back or never left.</t>
        </is>
      </c>
    </row>
    <row r="11" ht="20" customHeight="1">
      <c r="A11" s="12" t="inlineStr">
        <is>
          <t>Skip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15" t="inlineStr">
        <is>
          <t>U</t>
        </is>
      </c>
      <c r="L11" s="30" t="n"/>
      <c r="M11" s="16" t="inlineStr">
        <is>
          <t>F</t>
        </is>
      </c>
      <c r="N11" s="30" t="n"/>
      <c r="O11" s="11" t="inlineStr">
        <is>
          <t>Latest login is from abroad.</t>
        </is>
      </c>
    </row>
    <row r="12" ht="20" customHeight="1">
      <c r="A12" s="12" t="inlineStr">
        <is>
          <t>Skip</t>
        </is>
      </c>
      <c r="B12" s="29" t="n"/>
      <c r="C12" s="29" t="n"/>
      <c r="D12" s="29" t="n"/>
      <c r="E12" s="29" t="n"/>
      <c r="F12" s="16" t="inlineStr">
        <is>
          <t>F</t>
        </is>
      </c>
      <c r="G12" s="29" t="n"/>
      <c r="H12" s="29" t="n"/>
      <c r="I12" s="29" t="n"/>
      <c r="J12" s="29" t="n"/>
      <c r="K12" s="29" t="n"/>
      <c r="L12" s="30" t="n"/>
      <c r="M12" s="30" t="n"/>
      <c r="N12" s="30" t="n"/>
      <c r="O12" s="11" t="inlineStr">
        <is>
          <t>Last seen abroad 8 months ago, nothing since.</t>
        </is>
      </c>
    </row>
    <row r="13" ht="20" customHeight="1">
      <c r="A13" s="12" t="inlineStr">
        <is>
          <t>Skip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16" t="inlineStr">
        <is>
          <t>T</t>
        </is>
      </c>
      <c r="M13" s="15" t="inlineStr">
        <is>
          <t>U</t>
        </is>
      </c>
      <c r="N13" s="30" t="n"/>
      <c r="O13" s="11" t="inlineStr">
        <is>
          <t>Flight bought, UAE activity stopped a month later, silent since.</t>
        </is>
      </c>
    </row>
    <row r="14" ht="20" customHeight="1">
      <c r="A14" s="12" t="inlineStr">
        <is>
          <t>Skip</t>
        </is>
      </c>
      <c r="B14" s="29" t="n"/>
      <c r="C14" s="29" t="n"/>
      <c r="D14" s="29" t="n"/>
      <c r="E14" s="29" t="n"/>
      <c r="F14" s="29" t="n"/>
      <c r="G14" s="29" t="n"/>
      <c r="H14" s="29" t="n"/>
      <c r="I14" s="16" t="inlineStr">
        <is>
          <t>T</t>
        </is>
      </c>
      <c r="J14" s="29" t="n"/>
      <c r="K14" s="15" t="inlineStr">
        <is>
          <t>U</t>
        </is>
      </c>
      <c r="L14" s="15" t="inlineStr">
        <is>
          <t>U</t>
        </is>
      </c>
      <c r="M14" s="30" t="n"/>
      <c r="N14" s="30" t="n"/>
      <c r="O14" s="11" t="inlineStr">
        <is>
          <t>UAE activity ran 3 months past the ticket, then stopped.</t>
        </is>
      </c>
    </row>
    <row r="15" ht="20" customHeight="1">
      <c r="A15" s="13" t="inlineStr">
        <is>
          <t>Unknown</t>
        </is>
      </c>
      <c r="B15" s="29" t="n"/>
      <c r="C15" s="29" t="n"/>
      <c r="D15" s="16" t="inlineStr">
        <is>
          <t>T</t>
        </is>
      </c>
      <c r="E15" s="29" t="n"/>
      <c r="F15" s="29" t="n"/>
      <c r="G15" s="29" t="n"/>
      <c r="H15" s="29" t="n"/>
      <c r="I15" s="15" t="inlineStr">
        <is>
          <t>U</t>
        </is>
      </c>
      <c r="J15" s="29" t="n"/>
      <c r="K15" s="29" t="n"/>
      <c r="L15" s="30" t="n"/>
      <c r="M15" s="30" t="n"/>
      <c r="N15" s="30" t="n"/>
      <c r="O15" s="11" t="inlineStr">
        <is>
          <t>Active long after the flight, then quiet beyond the window.</t>
        </is>
      </c>
    </row>
    <row r="16" ht="20" customHeight="1">
      <c r="A16" s="13" t="inlineStr">
        <is>
          <t>Unknown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 t="n"/>
      <c r="M16" s="30" t="n"/>
      <c r="N16" s="30" t="n"/>
      <c r="O16" s="11" t="inlineStr">
        <is>
          <t>No evidence at all.</t>
        </is>
      </c>
    </row>
    <row r="18" ht="20" customHeight="1">
      <c r="A18" s="5" t="inlineStr">
        <is>
          <t>Reachability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 ht="28" customHeight="1">
      <c r="A19" s="25" t="inlineStr">
        <is>
          <t>Codes</t>
        </is>
      </c>
      <c r="B19" s="26" t="inlineStr">
        <is>
          <t>A  answered</t>
        </is>
      </c>
      <c r="C19" s="8" t="n"/>
      <c r="D19" s="26" t="inlineStr">
        <is>
          <t>I  called us</t>
        </is>
      </c>
      <c r="E19" s="8" t="n"/>
      <c r="F19" s="27" t="inlineStr">
        <is>
          <t>R  rang out</t>
        </is>
      </c>
      <c r="G19" s="8" t="n"/>
      <c r="H19" s="27" t="inlineStr">
        <is>
          <t>D  dead line</t>
        </is>
      </c>
      <c r="I19" s="8" t="n"/>
      <c r="J19" s="31" t="inlineStr">
        <is>
          <t>C  connected, not confirmed</t>
        </is>
      </c>
      <c r="K19" s="8" t="n"/>
    </row>
    <row r="20" ht="20" customHeight="1">
      <c r="A20" s="7" t="inlineStr">
        <is>
          <t>State</t>
        </is>
      </c>
      <c r="B20" s="7" t="inlineStr">
        <is>
          <t>-12</t>
        </is>
      </c>
      <c r="C20" s="7" t="inlineStr">
        <is>
          <t>-11</t>
        </is>
      </c>
      <c r="D20" s="7" t="inlineStr">
        <is>
          <t>-10</t>
        </is>
      </c>
      <c r="E20" s="7" t="inlineStr">
        <is>
          <t>-9</t>
        </is>
      </c>
      <c r="F20" s="7" t="inlineStr">
        <is>
          <t>-8</t>
        </is>
      </c>
      <c r="G20" s="7" t="inlineStr">
        <is>
          <t>-7</t>
        </is>
      </c>
      <c r="H20" s="7" t="inlineStr">
        <is>
          <t>-6</t>
        </is>
      </c>
      <c r="I20" s="7" t="inlineStr">
        <is>
          <t>-5</t>
        </is>
      </c>
      <c r="J20" s="7" t="inlineStr">
        <is>
          <t>-4</t>
        </is>
      </c>
      <c r="K20" s="7" t="inlineStr">
        <is>
          <t>-3</t>
        </is>
      </c>
      <c r="L20" s="28" t="inlineStr">
        <is>
          <t>-2</t>
        </is>
      </c>
      <c r="M20" s="28" t="inlineStr">
        <is>
          <t>-1</t>
        </is>
      </c>
      <c r="N20" s="28" t="inlineStr">
        <is>
          <t>Now</t>
        </is>
      </c>
      <c r="O20" s="7" t="inlineStr">
        <is>
          <t>Why</t>
        </is>
      </c>
    </row>
    <row r="21" ht="20" customHeight="1">
      <c r="A21" s="9" t="inlineStr">
        <is>
          <t>Reachable</t>
        </is>
      </c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30" t="n"/>
      <c r="M21" s="15" t="inlineStr">
        <is>
          <t>A</t>
        </is>
      </c>
      <c r="N21" s="30" t="n"/>
      <c r="O21" s="11" t="inlineStr">
        <is>
          <t>Answered last month.</t>
        </is>
      </c>
    </row>
    <row r="22" ht="20" customHeight="1">
      <c r="A22" s="9" t="inlineStr">
        <is>
          <t>Reachable</t>
        </is>
      </c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15" t="inlineStr">
        <is>
          <t>I</t>
        </is>
      </c>
      <c r="M22" s="30" t="n"/>
      <c r="N22" s="30" t="n"/>
      <c r="O22" s="11" t="inlineStr">
        <is>
          <t>Called us; no outbound calls needed.</t>
        </is>
      </c>
    </row>
    <row r="23" ht="20" customHeight="1">
      <c r="A23" s="9" t="inlineStr">
        <is>
          <t>Reachable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16" t="inlineStr">
        <is>
          <t>R</t>
        </is>
      </c>
      <c r="M23" s="16" t="inlineStr">
        <is>
          <t>R</t>
        </is>
      </c>
      <c r="N23" s="15" t="inlineStr">
        <is>
          <t>R I</t>
        </is>
      </c>
      <c r="O23" s="11" t="inlineStr">
        <is>
          <t>3 failed days, then the customer called us.</t>
        </is>
      </c>
    </row>
    <row r="24" ht="20" customHeight="1">
      <c r="A24" s="12" t="inlineStr">
        <is>
          <t>Non-Reachable</t>
        </is>
      </c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15" t="inlineStr">
        <is>
          <t>A</t>
        </is>
      </c>
      <c r="M24" s="16" t="inlineStr">
        <is>
          <t>R D</t>
        </is>
      </c>
      <c r="N24" s="16" t="inlineStr">
        <is>
          <t>R</t>
        </is>
      </c>
      <c r="O24" s="11" t="inlineStr">
        <is>
          <t>Answered once, then 3 failed days.</t>
        </is>
      </c>
    </row>
    <row r="25" ht="20" customHeight="1">
      <c r="A25" s="13" t="inlineStr">
        <is>
          <t>Unknown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30" t="n"/>
      <c r="M25" s="17" t="inlineStr">
        <is>
          <t>R C</t>
        </is>
      </c>
      <c r="N25" s="16" t="inlineStr">
        <is>
          <t>R D</t>
        </is>
      </c>
      <c r="O25" s="11" t="inlineStr">
        <is>
          <t>A connected call breaks the failed run; no contact on record.</t>
        </is>
      </c>
    </row>
    <row r="26" ht="20" customHeight="1">
      <c r="A26" s="13" t="inlineStr">
        <is>
          <t>Unknown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15" t="inlineStr">
        <is>
          <t>A</t>
        </is>
      </c>
      <c r="K26" s="29" t="n"/>
      <c r="L26" s="30" t="n"/>
      <c r="M26" s="16" t="inlineStr">
        <is>
          <t>R</t>
        </is>
      </c>
      <c r="N26" s="16" t="inlineStr">
        <is>
          <t>D</t>
        </is>
      </c>
      <c r="O26" s="11" t="inlineStr">
        <is>
          <t>Last contact older than the window; only 2 failed days.</t>
        </is>
      </c>
    </row>
    <row r="27" ht="20" customHeight="1">
      <c r="A27" s="13" t="inlineStr">
        <is>
          <t>Unknown</t>
        </is>
      </c>
      <c r="B27" s="29" t="n"/>
      <c r="C27" s="29" t="n"/>
      <c r="D27" s="29" t="n"/>
      <c r="E27" s="29" t="n"/>
      <c r="F27" s="29" t="n"/>
      <c r="G27" s="29" t="n"/>
      <c r="H27" s="16" t="inlineStr">
        <is>
          <t>R</t>
        </is>
      </c>
      <c r="I27" s="16" t="inlineStr">
        <is>
          <t>R</t>
        </is>
      </c>
      <c r="J27" s="16" t="inlineStr">
        <is>
          <t>R</t>
        </is>
      </c>
      <c r="K27" s="29" t="n"/>
      <c r="L27" s="30" t="n"/>
      <c r="M27" s="30" t="n"/>
      <c r="N27" s="30" t="n"/>
      <c r="O27" s="11" t="inlineStr">
        <is>
          <t>Failed days, all older than the window.</t>
        </is>
      </c>
    </row>
    <row r="28" ht="20" customHeight="1">
      <c r="A28" s="13" t="inlineStr">
        <is>
          <t>Unknown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 t="n"/>
      <c r="M28" s="30" t="n"/>
      <c r="N28" s="30" t="n"/>
      <c r="O28" s="11" t="inlineStr">
        <is>
          <t>No calls on record.</t>
        </is>
      </c>
    </row>
    <row r="30" ht="19.5" customHeight="1">
      <c r="A30" s="2" t="inlineStr">
        <is>
          <t>One code per call (a day with an answer counts as a contact). At 180+ DPD the window is 6 months; the rules are the same.</t>
        </is>
      </c>
    </row>
  </sheetData>
  <mergeCells count="11">
    <mergeCell ref="B5:D5"/>
    <mergeCell ref="A2:O2"/>
    <mergeCell ref="E5:G5"/>
    <mergeCell ref="K5:M5"/>
    <mergeCell ref="H5:J5"/>
    <mergeCell ref="B19:C19"/>
    <mergeCell ref="D19:E19"/>
    <mergeCell ref="F19:G19"/>
    <mergeCell ref="J19:K19"/>
    <mergeCell ref="H19:I19"/>
    <mergeCell ref="A30:O3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34" customWidth="1" min="4" max="4"/>
  </cols>
  <sheetData>
    <row r="1">
      <c r="A1" s="1" t="inlineStr">
        <is>
          <t>Changes</t>
        </is>
      </c>
    </row>
    <row r="2" ht="20" customHeight="1">
      <c r="A2" s="2" t="inlineStr">
        <is>
          <t>What changed against the model in use, and the effect on credit cards at 61–180 DPD, 31 Aug 2026 (production check, same accounts).</t>
        </is>
      </c>
    </row>
    <row r="4" ht="20" customHeight="1">
      <c r="A4" s="7" t="inlineStr">
        <is>
          <t>Area</t>
        </is>
      </c>
      <c r="B4" s="7" t="inlineStr">
        <is>
          <t>Before</t>
        </is>
      </c>
      <c r="C4" s="7" t="inlineStr">
        <is>
          <t>Now</t>
        </is>
      </c>
      <c r="D4" s="7" t="inlineStr">
        <is>
          <t>Effect</t>
        </is>
      </c>
    </row>
    <row r="5" ht="46.5" customHeight="1">
      <c r="A5" s="22" t="inlineStr">
        <is>
          <t>Structure</t>
        </is>
      </c>
      <c r="B5" s="23" t="inlineStr">
        <is>
          <t>One state (gone, skip, avoiding, non-cooperative, reachable, unknown, deceased) from a departure spell.</t>
        </is>
      </c>
      <c r="C5" s="23" t="inlineStr">
        <is>
          <t>Two independent dimensions + deceased, every account and month end.</t>
        </is>
      </c>
      <c r="D5" s="24" t="inlineStr">
        <is>
          <t>Old gone 6,048 → Skip 5,158; old skip 3,855 → Skip 913, Unknown 2,172.</t>
        </is>
      </c>
    </row>
    <row r="6" ht="46.5" customHeight="1">
      <c r="A6" s="22" t="inlineStr">
        <is>
          <t>Location principle</t>
        </is>
      </c>
      <c r="B6" s="23" t="inlineStr">
        <is>
          <t>Any departure sign (travel, foreign card use or login, salary stop, collector note), cancelled by a UAE login within 90 / 180 days.</t>
        </is>
      </c>
      <c r="C6" s="23" t="inlineStr">
        <is>
          <t>The latest evidence wins; foreign at any age, UAE only within the window.</t>
        </is>
      </c>
      <c r="D6" s="24" t="inlineStr">
        <is>
          <t>Skip 44.0%, In Country 24.0%, Unknown 32.0%.</t>
        </is>
      </c>
    </row>
    <row r="7" ht="46.5" customHeight="1">
      <c r="A7" s="22" t="inlineStr">
        <is>
          <t>Credit card abroad</t>
        </is>
      </c>
      <c r="B7" s="23" t="inlineStr">
        <is>
          <t>Any foreign-merchant transaction, online included.</t>
        </is>
      </c>
      <c r="C7" s="23" t="inlineStr">
        <is>
          <t>In person only: cash / ATM and grocery, fuel, restaurant, pharmacy, transport, department-store purchases.</t>
        </is>
      </c>
      <c r="D7" s="24" t="inlineStr">
        <is>
          <t>Decides 551 Skip and 123 In Country.</t>
        </is>
      </c>
    </row>
    <row r="8" ht="46.5" customHeight="1">
      <c r="A8" s="22" t="inlineStr">
        <is>
          <t>Debit card</t>
        </is>
      </c>
      <c r="B8" s="23" t="inlineStr">
        <is>
          <t>Not used.</t>
        </is>
      </c>
      <c r="C8" s="23" t="inlineStr">
        <is>
          <t>Shop-terminal payments and ATM withdrawals, placed by the terminal's country.</t>
        </is>
      </c>
      <c r="D8" s="24" t="inlineStr">
        <is>
          <t>Decides 143 Skip and 148 In Country; rows fall sharply from May 2026 (lag or behaviour: under check).</t>
        </is>
      </c>
    </row>
    <row r="9" ht="46.5" customHeight="1">
      <c r="A9" s="22" t="inlineStr">
        <is>
          <t>Travel purchase</t>
        </is>
      </c>
      <c r="B9" s="23" t="inlineStr">
        <is>
          <t>Within 3 months before the card block, the scored card only.</t>
        </is>
      </c>
      <c r="C9" s="23" t="inlineStr">
        <is>
          <t>Travel rule on any card: UAE activity ends within 3 months of the ticket, then 1 month of silence.</t>
        </is>
      </c>
      <c r="D9" s="24" t="inlineStr">
        <is>
          <t>1,620 Skip (8.4%), mostly 3–7 months after the last UAE evidence.</t>
        </is>
      </c>
    </row>
    <row r="10" ht="33" customHeight="1">
      <c r="A10" s="22" t="inlineStr">
        <is>
          <t>Logins</t>
        </is>
      </c>
      <c r="B10" s="23" t="inlineStr">
        <is>
          <t>Logins with no country counted as foreign; monthly dates.</t>
        </is>
      </c>
      <c r="C10" s="23" t="inlineStr">
        <is>
          <t>No country = no evidence; daily dates; same day: foreign wins.</t>
        </is>
      </c>
      <c r="D10" s="24" t="inlineStr">
        <is>
          <t>A foreign login decides 5,772 Skip (29.9%); VPN check open.</t>
        </is>
      </c>
    </row>
    <row r="11" ht="33" customHeight="1">
      <c r="A11" s="22" t="inlineStr">
        <is>
          <t>Not evidence</t>
        </is>
      </c>
      <c r="B11" s="23" t="inlineStr">
        <is>
          <t>Salary stop and foreign online spend counted as departure.</t>
        </is>
      </c>
      <c r="C11" s="23" t="inlineStr">
        <is>
          <t>Salary, online purchases, transfers and incoming money are not location evidence.</t>
        </is>
      </c>
      <c r="D11" s="24" t="inlineStr">
        <is>
          <t>—</t>
        </is>
      </c>
    </row>
    <row r="12" ht="46.5" customHeight="1">
      <c r="A12" s="22" t="inlineStr">
        <is>
          <t>Failed call</t>
        </is>
      </c>
      <c r="B12" s="23" t="inlineStr">
        <is>
          <t>Ringing only.</t>
        </is>
      </c>
      <c r="C12" s="23" t="inlineStr">
        <is>
          <t>Rang out, no answer, message left, or a dead line (switched off, wrong / invalid number); connected without success is neutral.</t>
        </is>
      </c>
      <c r="D12" s="24" t="inlineStr">
        <is>
          <t>Reachable −15.1 pt.</t>
        </is>
      </c>
    </row>
    <row r="13" ht="46.5" customHeight="1">
      <c r="A13" s="22" t="inlineStr">
        <is>
          <t>Admin entries</t>
        </is>
      </c>
      <c r="B13" s="23" t="inlineStr">
        <is>
          <t>Result not found, follow up, e-mail sent, legal / repossession counted and broke a run of failed calls.</t>
        </is>
      </c>
      <c r="C13" s="23" t="inlineStr">
        <is>
          <t>Ignored.</t>
        </is>
      </c>
      <c r="D13" s="24" t="inlineStr">
        <is>
          <t>Reachable −21.1 pt (the largest move).</t>
        </is>
      </c>
    </row>
    <row r="14" ht="33" customHeight="1">
      <c r="A14" s="22" t="inlineStr">
        <is>
          <t>Reachable</t>
        </is>
      </c>
      <c r="B14" s="23" t="inlineStr">
        <is>
          <t>Any contact since the spell began; overruled only by 3 ringing events.</t>
        </is>
      </c>
      <c r="C14" s="23" t="inlineStr">
        <is>
          <t>A contact within the window; 3 failed call days after it still make Non-Reachable.</t>
        </is>
      </c>
      <c r="D14" s="24" t="inlineStr">
        <is>
          <t>Reachable −5.5 pt (1,065 → Unknown).</t>
        </is>
      </c>
    </row>
    <row r="15" ht="33" customHeight="1">
      <c r="A15" s="22" t="inlineStr">
        <is>
          <t>Call minimum</t>
        </is>
      </c>
      <c r="B15" s="23" t="inlineStr">
        <is>
          <t>3 outbound attempts needed for any reachability state.</t>
        </is>
      </c>
      <c r="C15" s="23" t="inlineStr">
        <is>
          <t>Needed for Non-Reachable only.</t>
        </is>
      </c>
      <c r="D15" s="24" t="inlineStr">
        <is>
          <t>Reachable 62.7% → 21.0%, Non-Reachable 7.0% → 67.6% overall.</t>
        </is>
      </c>
    </row>
    <row r="16" ht="33" customHeight="1">
      <c r="A16" s="22" t="inlineStr">
        <is>
          <t>Call history</t>
        </is>
      </c>
      <c r="B16" s="23" t="inlineStr">
        <is>
          <t>From the spell start.</t>
        </is>
      </c>
      <c r="C16" s="23" t="inlineStr">
        <is>
          <t>All collections history up to the scoring date.</t>
        </is>
      </c>
      <c r="D16" s="24" t="inlineStr">
        <is>
          <t>—</t>
        </is>
      </c>
    </row>
    <row r="17" ht="46.5" customHeight="1">
      <c r="A17" s="22" t="inlineStr">
        <is>
          <t>Deceased</t>
        </is>
      </c>
      <c r="B17" s="23" t="inlineStr">
        <is>
          <t>Collector note; card block joined on the exact date.</t>
        </is>
      </c>
      <c r="C17" s="23" t="inlineStr">
        <is>
          <t>Collector note (claims included), card block D on the latest snapshot, customer record flag.</t>
        </is>
      </c>
      <c r="D17" s="24" t="inlineStr">
        <is>
          <t>44 → 89; 33 of them have no collector note.</t>
        </is>
      </c>
    </row>
    <row r="18" ht="33" customHeight="1">
      <c r="A18" s="22" t="inlineStr">
        <is>
          <t>Dropped</t>
        </is>
      </c>
      <c r="B18" s="23" t="inlineStr">
        <is>
          <t>Routing flags (promise to pay, hardship, refusing, field visit), contact rates.</t>
        </is>
      </c>
      <c r="C18" s="23" t="inlineStr">
        <is>
          <t>Left to the other axes.</t>
        </is>
      </c>
      <c r="D18" s="24" t="inlineStr">
        <is>
          <t>—</t>
        </is>
      </c>
    </row>
    <row r="20" ht="19.5" customHeight="1">
      <c r="A20" s="2" t="inlineStr">
        <is>
          <t>Loans: the old output had 111 extra rows from departure spells; the new one covers exactly the scored accounts (3,985).</t>
        </is>
      </c>
    </row>
  </sheetData>
  <mergeCells count="2">
    <mergeCell ref="A20:D20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7" customWidth="1" min="4" max="4"/>
    <col width="11" customWidth="1" min="5" max="5"/>
    <col width="7" customWidth="1" min="6" max="6"/>
    <col width="11" customWidth="1" min="7" max="7"/>
    <col width="7" customWidth="1" min="8" max="8"/>
    <col width="11" customWidth="1" min="9" max="9"/>
    <col width="7" customWidth="1" min="10" max="10"/>
    <col width="11" customWidth="1" min="11" max="11"/>
    <col width="7" customWidth="1" min="12" max="12"/>
    <col width="11" customWidth="1" min="13" max="13"/>
    <col width="7" customWidth="1" min="14" max="14"/>
    <col width="11" customWidth="1" min="15" max="15"/>
    <col width="7" customWidth="1" min="16" max="16"/>
    <col width="11" customWidth="1" min="17" max="17"/>
    <col width="7" customWidth="1" min="18" max="18"/>
    <col width="11" customWidth="1" min="19" max="19"/>
    <col width="7" customWidth="1" min="20" max="20"/>
    <col width="11" customWidth="1" min="21" max="21"/>
    <col width="7" customWidth="1" min="22" max="22"/>
  </cols>
  <sheetData>
    <row r="1">
      <c r="A1" s="1" t="inlineStr">
        <is>
          <t>Results</t>
        </is>
      </c>
    </row>
    <row r="2" ht="20" customHeight="1">
      <c r="A2" s="2" t="inlineStr">
        <is>
          <t>Accounts per state and model variant, 31 Aug 2026 (production check). Pale yellow = from the run; shares are calculated. Loans by product and 180+ have not run yet; the loan total is entered until they do.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
61–180</t>
        </is>
      </c>
      <c r="D6" s="7" t="inlineStr">
        <is>
          <t>share</t>
        </is>
      </c>
      <c r="E6" s="7" t="inlineStr">
        <is>
          <t>CC
180+</t>
        </is>
      </c>
      <c r="F6" s="7" t="inlineStr">
        <is>
          <t>share</t>
        </is>
      </c>
      <c r="G6" s="7" t="inlineStr">
        <is>
          <t>RL 61–180
Personal Loans</t>
        </is>
      </c>
      <c r="H6" s="7" t="inlineStr">
        <is>
          <t>share</t>
        </is>
      </c>
      <c r="I6" s="7" t="inlineStr">
        <is>
          <t>RL 61–180
Personal Cash Loans</t>
        </is>
      </c>
      <c r="J6" s="7" t="inlineStr">
        <is>
          <t>share</t>
        </is>
      </c>
      <c r="K6" s="7" t="inlineStr">
        <is>
          <t>RL 61–180
Auto</t>
        </is>
      </c>
      <c r="L6" s="7" t="inlineStr">
        <is>
          <t>share</t>
        </is>
      </c>
      <c r="M6" s="7" t="inlineStr">
        <is>
          <t>RL 61–180
total</t>
        </is>
      </c>
      <c r="N6" s="7" t="inlineStr">
        <is>
          <t>share</t>
        </is>
      </c>
      <c r="O6" s="7" t="inlineStr">
        <is>
          <t>RL 180+
Personal Loans</t>
        </is>
      </c>
      <c r="P6" s="7" t="inlineStr">
        <is>
          <t>share</t>
        </is>
      </c>
      <c r="Q6" s="7" t="inlineStr">
        <is>
          <t>RL 180+
Personal Cash Loans</t>
        </is>
      </c>
      <c r="R6" s="7" t="inlineStr">
        <is>
          <t>share</t>
        </is>
      </c>
      <c r="S6" s="7" t="inlineStr">
        <is>
          <t>RL 180+
Auto</t>
        </is>
      </c>
      <c r="T6" s="7" t="inlineStr">
        <is>
          <t>share</t>
        </is>
      </c>
      <c r="U6" s="7" t="inlineStr">
        <is>
          <t>RL 180+
total</t>
        </is>
      </c>
      <c r="V6" s="7" t="inlineStr">
        <is>
          <t>share</t>
        </is>
      </c>
    </row>
    <row r="7">
      <c r="A7" s="14" t="inlineStr">
        <is>
          <t>Deceased</t>
        </is>
      </c>
      <c r="B7" s="8" t="n"/>
      <c r="C7" s="32" t="n">
        <v>89</v>
      </c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  <c r="K7" s="32" t="n"/>
      <c r="L7" s="33">
        <f>IF(OR(K7="",N($K$17)=0),"",K7/$K$17)</f>
        <v/>
      </c>
      <c r="M7" s="32" t="n">
        <v>29</v>
      </c>
      <c r="N7" s="33">
        <f>IF(OR(M7="",N($M$17)=0),"",M7/$M$17)</f>
        <v/>
      </c>
      <c r="O7" s="32" t="n"/>
      <c r="P7" s="33">
        <f>IF(OR(O7="",N($O$17)=0),"",O7/$O$17)</f>
        <v/>
      </c>
      <c r="Q7" s="32" t="n"/>
      <c r="R7" s="33">
        <f>IF(OR(Q7="",N($Q$17)=0),"",Q7/$Q$17)</f>
        <v/>
      </c>
      <c r="S7" s="32" t="n"/>
      <c r="T7" s="33">
        <f>IF(OR(S7="",N($S$17)=0),"",S7/$S$17)</f>
        <v/>
      </c>
      <c r="U7" s="34">
        <f>IF(COUNT(O7,Q7,S7)=0,"",SUM(O7,Q7,S7))</f>
        <v/>
      </c>
      <c r="V7" s="33">
        <f>IF(OR(U7="",N($U$17)=0),"",U7/$U$17)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>
        <v>1648</v>
      </c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  <c r="K8" s="32" t="n"/>
      <c r="L8" s="33">
        <f>IF(OR(K8="",N($K$17)=0),"",K8/$K$17)</f>
        <v/>
      </c>
      <c r="M8" s="32" t="n">
        <v>407</v>
      </c>
      <c r="N8" s="33">
        <f>IF(OR(M8="",N($M$17)=0),"",M8/$M$17)</f>
        <v/>
      </c>
      <c r="O8" s="32" t="n"/>
      <c r="P8" s="33">
        <f>IF(OR(O8="",N($O$17)=0),"",O8/$O$17)</f>
        <v/>
      </c>
      <c r="Q8" s="32" t="n"/>
      <c r="R8" s="33">
        <f>IF(OR(Q8="",N($Q$17)=0),"",Q8/$Q$17)</f>
        <v/>
      </c>
      <c r="S8" s="32" t="n"/>
      <c r="T8" s="33">
        <f>IF(OR(S8="",N($S$17)=0),"",S8/$S$17)</f>
        <v/>
      </c>
      <c r="U8" s="34">
        <f>IF(COUNT(O8,Q8,S8)=0,"",SUM(O8,Q8,S8))</f>
        <v/>
      </c>
      <c r="V8" s="33">
        <f>IF(OR(U8="",N($U$17)=0),"",U8/$U$17)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>
        <v>2613</v>
      </c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  <c r="K9" s="32" t="n"/>
      <c r="L9" s="33">
        <f>IF(OR(K9="",N($K$17)=0),"",K9/$K$17)</f>
        <v/>
      </c>
      <c r="M9" s="32" t="n">
        <v>564</v>
      </c>
      <c r="N9" s="33">
        <f>IF(OR(M9="",N($M$17)=0),"",M9/$M$17)</f>
        <v/>
      </c>
      <c r="O9" s="32" t="n"/>
      <c r="P9" s="33">
        <f>IF(OR(O9="",N($O$17)=0),"",O9/$O$17)</f>
        <v/>
      </c>
      <c r="Q9" s="32" t="n"/>
      <c r="R9" s="33">
        <f>IF(OR(Q9="",N($Q$17)=0),"",Q9/$Q$17)</f>
        <v/>
      </c>
      <c r="S9" s="32" t="n"/>
      <c r="T9" s="33">
        <f>IF(OR(S9="",N($S$17)=0),"",S9/$S$17)</f>
        <v/>
      </c>
      <c r="U9" s="34">
        <f>IF(COUNT(O9,Q9,S9)=0,"",SUM(O9,Q9,S9))</f>
        <v/>
      </c>
      <c r="V9" s="33">
        <f>IF(OR(U9="",N($U$17)=0),"",U9/$U$17)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>
        <v>369</v>
      </c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  <c r="K10" s="32" t="n"/>
      <c r="L10" s="33">
        <f>IF(OR(K10="",N($K$17)=0),"",K10/$K$17)</f>
        <v/>
      </c>
      <c r="M10" s="32" t="n">
        <v>107</v>
      </c>
      <c r="N10" s="33">
        <f>IF(OR(M10="",N($M$17)=0),"",M10/$M$17)</f>
        <v/>
      </c>
      <c r="O10" s="32" t="n"/>
      <c r="P10" s="33">
        <f>IF(OR(O10="",N($O$17)=0),"",O10/$O$17)</f>
        <v/>
      </c>
      <c r="Q10" s="32" t="n"/>
      <c r="R10" s="33">
        <f>IF(OR(Q10="",N($Q$17)=0),"",Q10/$Q$17)</f>
        <v/>
      </c>
      <c r="S10" s="32" t="n"/>
      <c r="T10" s="33">
        <f>IF(OR(S10="",N($S$17)=0),"",S10/$S$17)</f>
        <v/>
      </c>
      <c r="U10" s="34">
        <f>IF(COUNT(O10,Q10,S10)=0,"",SUM(O10,Q10,S10))</f>
        <v/>
      </c>
      <c r="V10" s="33">
        <f>IF(OR(U10="",N($U$17)=0),"",U10/$U$17)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>
        <v>1186</v>
      </c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  <c r="K11" s="32" t="n"/>
      <c r="L11" s="33">
        <f>IF(OR(K11="",N($K$17)=0),"",K11/$K$17)</f>
        <v/>
      </c>
      <c r="M11" s="32" t="n">
        <v>320</v>
      </c>
      <c r="N11" s="33">
        <f>IF(OR(M11="",N($M$17)=0),"",M11/$M$17)</f>
        <v/>
      </c>
      <c r="O11" s="32" t="n"/>
      <c r="P11" s="33">
        <f>IF(OR(O11="",N($O$17)=0),"",O11/$O$17)</f>
        <v/>
      </c>
      <c r="Q11" s="32" t="n"/>
      <c r="R11" s="33">
        <f>IF(OR(Q11="",N($Q$17)=0),"",Q11/$Q$17)</f>
        <v/>
      </c>
      <c r="S11" s="32" t="n"/>
      <c r="T11" s="33">
        <f>IF(OR(S11="",N($S$17)=0),"",S11/$S$17)</f>
        <v/>
      </c>
      <c r="U11" s="34">
        <f>IF(COUNT(O11,Q11,S11)=0,"",SUM(O11,Q11,S11))</f>
        <v/>
      </c>
      <c r="V11" s="33">
        <f>IF(OR(U11="",N($U$17)=0),"",U11/$U$17)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>
        <v>6114</v>
      </c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  <c r="K12" s="32" t="n"/>
      <c r="L12" s="33">
        <f>IF(OR(K12="",N($K$17)=0),"",K12/$K$17)</f>
        <v/>
      </c>
      <c r="M12" s="32" t="n">
        <v>1135</v>
      </c>
      <c r="N12" s="33">
        <f>IF(OR(M12="",N($M$17)=0),"",M12/$M$17)</f>
        <v/>
      </c>
      <c r="O12" s="32" t="n"/>
      <c r="P12" s="33">
        <f>IF(OR(O12="",N($O$17)=0),"",O12/$O$17)</f>
        <v/>
      </c>
      <c r="Q12" s="32" t="n"/>
      <c r="R12" s="33">
        <f>IF(OR(Q12="",N($Q$17)=0),"",Q12/$Q$17)</f>
        <v/>
      </c>
      <c r="S12" s="32" t="n"/>
      <c r="T12" s="33">
        <f>IF(OR(S12="",N($S$17)=0),"",S12/$S$17)</f>
        <v/>
      </c>
      <c r="U12" s="34">
        <f>IF(COUNT(O12,Q12,S12)=0,"",SUM(O12,Q12,S12))</f>
        <v/>
      </c>
      <c r="V12" s="33">
        <f>IF(OR(U12="",N($U$17)=0),"",U12/$U$17)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>
        <v>1155</v>
      </c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  <c r="K13" s="32" t="n"/>
      <c r="L13" s="33">
        <f>IF(OR(K13="",N($K$17)=0),"",K13/$K$17)</f>
        <v/>
      </c>
      <c r="M13" s="32" t="n">
        <v>260</v>
      </c>
      <c r="N13" s="33">
        <f>IF(OR(M13="",N($M$17)=0),"",M13/$M$17)</f>
        <v/>
      </c>
      <c r="O13" s="32" t="n"/>
      <c r="P13" s="33">
        <f>IF(OR(O13="",N($O$17)=0),"",O13/$O$17)</f>
        <v/>
      </c>
      <c r="Q13" s="32" t="n"/>
      <c r="R13" s="33">
        <f>IF(OR(Q13="",N($Q$17)=0),"",Q13/$Q$17)</f>
        <v/>
      </c>
      <c r="S13" s="32" t="n"/>
      <c r="T13" s="33">
        <f>IF(OR(S13="",N($S$17)=0),"",S13/$S$17)</f>
        <v/>
      </c>
      <c r="U13" s="34">
        <f>IF(COUNT(O13,Q13,S13)=0,"",SUM(O13,Q13,S13))</f>
        <v/>
      </c>
      <c r="V13" s="33">
        <f>IF(OR(U13="",N($U$17)=0),"",U13/$U$17)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>
        <v>1203</v>
      </c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  <c r="K14" s="32" t="n"/>
      <c r="L14" s="33">
        <f>IF(OR(K14="",N($K$17)=0),"",K14/$K$17)</f>
        <v/>
      </c>
      <c r="M14" s="32" t="n">
        <v>308</v>
      </c>
      <c r="N14" s="33">
        <f>IF(OR(M14="",N($M$17)=0),"",M14/$M$17)</f>
        <v/>
      </c>
      <c r="O14" s="32" t="n"/>
      <c r="P14" s="33">
        <f>IF(OR(O14="",N($O$17)=0),"",O14/$O$17)</f>
        <v/>
      </c>
      <c r="Q14" s="32" t="n"/>
      <c r="R14" s="33">
        <f>IF(OR(Q14="",N($Q$17)=0),"",Q14/$Q$17)</f>
        <v/>
      </c>
      <c r="S14" s="32" t="n"/>
      <c r="T14" s="33">
        <f>IF(OR(S14="",N($S$17)=0),"",S14/$S$17)</f>
        <v/>
      </c>
      <c r="U14" s="34">
        <f>IF(COUNT(O14,Q14,S14)=0,"",SUM(O14,Q14,S14))</f>
        <v/>
      </c>
      <c r="V14" s="33">
        <f>IF(OR(U14="",N($U$17)=0),"",U14/$U$17)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>
        <v>4290</v>
      </c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  <c r="K15" s="32" t="n"/>
      <c r="L15" s="33">
        <f>IF(OR(K15="",N($K$17)=0),"",K15/$K$17)</f>
        <v/>
      </c>
      <c r="M15" s="32" t="n">
        <v>592</v>
      </c>
      <c r="N15" s="33">
        <f>IF(OR(M15="",N($M$17)=0),"",M15/$M$17)</f>
        <v/>
      </c>
      <c r="O15" s="32" t="n"/>
      <c r="P15" s="33">
        <f>IF(OR(O15="",N($O$17)=0),"",O15/$O$17)</f>
        <v/>
      </c>
      <c r="Q15" s="32" t="n"/>
      <c r="R15" s="33">
        <f>IF(OR(Q15="",N($Q$17)=0),"",Q15/$Q$17)</f>
        <v/>
      </c>
      <c r="S15" s="32" t="n"/>
      <c r="T15" s="33">
        <f>IF(OR(S15="",N($S$17)=0),"",S15/$S$17)</f>
        <v/>
      </c>
      <c r="U15" s="34">
        <f>IF(COUNT(O15,Q15,S15)=0,"",SUM(O15,Q15,S15))</f>
        <v/>
      </c>
      <c r="V15" s="33">
        <f>IF(OR(U15="",N($U$17)=0),"",U15/$U$17)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>
        <v>625</v>
      </c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  <c r="K16" s="32" t="n"/>
      <c r="L16" s="33">
        <f>IF(OR(K16="",N($K$17)=0),"",K16/$K$17)</f>
        <v/>
      </c>
      <c r="M16" s="32" t="n">
        <v>263</v>
      </c>
      <c r="N16" s="33">
        <f>IF(OR(M16="",N($M$17)=0),"",M16/$M$17)</f>
        <v/>
      </c>
      <c r="O16" s="32" t="n"/>
      <c r="P16" s="33">
        <f>IF(OR(O16="",N($O$17)=0),"",O16/$O$17)</f>
        <v/>
      </c>
      <c r="Q16" s="32" t="n"/>
      <c r="R16" s="33">
        <f>IF(OR(Q16="",N($Q$17)=0),"",Q16/$Q$17)</f>
        <v/>
      </c>
      <c r="S16" s="32" t="n"/>
      <c r="T16" s="33">
        <f>IF(OR(S16="",N($S$17)=0),"",S16/$S$17)</f>
        <v/>
      </c>
      <c r="U16" s="34">
        <f>IF(COUNT(O16,Q16,S16)=0,"",SUM(O16,Q16,S16))</f>
        <v/>
      </c>
      <c r="V16" s="33">
        <f>IF(OR(U16="",N($U$17)=0),"",U16/$U$17)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  <c r="K17" s="35">
        <f>IF(COUNT(K7:K16)=0,"",SUM(K7:K16))</f>
        <v/>
      </c>
      <c r="L17" s="23" t="n"/>
      <c r="M17" s="35">
        <f>IF(COUNT(M7:M16)=0,"",SUM(M7:M16))</f>
        <v/>
      </c>
      <c r="N17" s="23" t="n"/>
      <c r="O17" s="35">
        <f>IF(COUNT(O7:O16)=0,"",SUM(O7:O16))</f>
        <v/>
      </c>
      <c r="P17" s="23" t="n"/>
      <c r="Q17" s="35">
        <f>IF(COUNT(Q7:Q16)=0,"",SUM(Q7:Q16))</f>
        <v/>
      </c>
      <c r="R17" s="23" t="n"/>
      <c r="S17" s="35">
        <f>IF(COUNT(S7:S16)=0,"",SUM(S7:S16))</f>
        <v/>
      </c>
      <c r="T17" s="23" t="n"/>
      <c r="U17" s="35">
        <f>IF(COUNT(U7:U16)=0,"",SUM(U7:U16))</f>
        <v/>
      </c>
      <c r="V17" s="23" t="n"/>
    </row>
    <row r="18">
      <c r="A18" s="23" t="inlineStr">
        <is>
          <t>Accounts in scope</t>
        </is>
      </c>
      <c r="B18" s="8" t="n"/>
      <c r="C18" s="32" t="n">
        <v>19292</v>
      </c>
      <c r="D18" s="23" t="n"/>
      <c r="E18" s="32" t="n"/>
      <c r="F18" s="23" t="n"/>
      <c r="G18" s="32" t="n"/>
      <c r="H18" s="23" t="n"/>
      <c r="I18" s="32" t="n"/>
      <c r="J18" s="23" t="n"/>
      <c r="K18" s="32" t="n"/>
      <c r="L18" s="23" t="n"/>
      <c r="M18" s="32" t="n">
        <v>3985</v>
      </c>
      <c r="N18" s="23" t="n"/>
      <c r="O18" s="32" t="n"/>
      <c r="P18" s="23" t="n"/>
      <c r="Q18" s="32" t="n"/>
      <c r="R18" s="23" t="n"/>
      <c r="S18" s="32" t="n"/>
      <c r="T18" s="23" t="n"/>
      <c r="U18" s="34">
        <f>IF(COUNT(O18,Q18,S18)=0,"",SUM(O18,Q18,S18))</f>
        <v/>
      </c>
      <c r="V18" s="23" t="n"/>
    </row>
    <row r="19">
      <c r="A19" s="22" t="inlineStr">
        <is>
          <t>Coverage</t>
        </is>
      </c>
      <c r="B19" s="8" t="n"/>
      <c r="C19" s="36">
        <f>IF(N(C18)=0,"",C17/C18)</f>
        <v/>
      </c>
      <c r="D19" s="23" t="n"/>
      <c r="E19" s="36">
        <f>IF(N(E18)=0,"",E17/E18)</f>
        <v/>
      </c>
      <c r="F19" s="23" t="n"/>
      <c r="G19" s="36">
        <f>IF(N(G18)=0,"",G17/G18)</f>
        <v/>
      </c>
      <c r="H19" s="23" t="n"/>
      <c r="I19" s="36">
        <f>IF(N(I18)=0,"",I17/I18)</f>
        <v/>
      </c>
      <c r="J19" s="23" t="n"/>
      <c r="K19" s="36">
        <f>IF(N(K18)=0,"",K17/K18)</f>
        <v/>
      </c>
      <c r="L19" s="23" t="n"/>
      <c r="M19" s="36">
        <f>IF(N(M18)=0,"",M17/M18)</f>
        <v/>
      </c>
      <c r="N19" s="23" t="n"/>
      <c r="O19" s="36">
        <f>IF(N(O18)=0,"",O17/O18)</f>
        <v/>
      </c>
      <c r="P19" s="23" t="n"/>
      <c r="Q19" s="36">
        <f>IF(N(Q18)=0,"",Q17/Q18)</f>
        <v/>
      </c>
      <c r="R19" s="23" t="n"/>
      <c r="S19" s="36">
        <f>IF(N(S18)=0,"",S17/S18)</f>
        <v/>
      </c>
      <c r="T19" s="23" t="n"/>
      <c r="U19" s="36">
        <f>IF(N(U18)=0,"",U17/U18)</f>
        <v/>
      </c>
      <c r="V19" s="23" t="n"/>
    </row>
    <row r="21" ht="20" customHeight="1">
      <c r="A21" s="5" t="inlineStr">
        <is>
          <t>Location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58" customHeight="1">
      <c r="A22" s="7" t="inlineStr">
        <is>
          <t>State</t>
        </is>
      </c>
      <c r="B22" s="8" t="n"/>
      <c r="C22" s="7" t="inlineStr">
        <is>
          <t>CC
61–180</t>
        </is>
      </c>
      <c r="D22" s="7" t="inlineStr">
        <is>
          <t>share</t>
        </is>
      </c>
      <c r="E22" s="7" t="inlineStr">
        <is>
          <t>CC
180+</t>
        </is>
      </c>
      <c r="F22" s="7" t="inlineStr">
        <is>
          <t>share</t>
        </is>
      </c>
      <c r="G22" s="7" t="inlineStr">
        <is>
          <t>RL 61–180
Personal Loans</t>
        </is>
      </c>
      <c r="H22" s="7" t="inlineStr">
        <is>
          <t>share</t>
        </is>
      </c>
      <c r="I22" s="7" t="inlineStr">
        <is>
          <t>RL 61–180
Personal Cash Loans</t>
        </is>
      </c>
      <c r="J22" s="7" t="inlineStr">
        <is>
          <t>share</t>
        </is>
      </c>
      <c r="K22" s="7" t="inlineStr">
        <is>
          <t>RL 61–180
Auto</t>
        </is>
      </c>
      <c r="L22" s="7" t="inlineStr">
        <is>
          <t>share</t>
        </is>
      </c>
      <c r="M22" s="7" t="inlineStr">
        <is>
          <t>RL 61–180
total</t>
        </is>
      </c>
      <c r="N22" s="7" t="inlineStr">
        <is>
          <t>share</t>
        </is>
      </c>
      <c r="O22" s="7" t="inlineStr">
        <is>
          <t>RL 180+
Personal Loans</t>
        </is>
      </c>
      <c r="P22" s="7" t="inlineStr">
        <is>
          <t>share</t>
        </is>
      </c>
      <c r="Q22" s="7" t="inlineStr">
        <is>
          <t>RL 180+
Personal Cash Loans</t>
        </is>
      </c>
      <c r="R22" s="7" t="inlineStr">
        <is>
          <t>share</t>
        </is>
      </c>
      <c r="S22" s="7" t="inlineStr">
        <is>
          <t>RL 180+
Auto</t>
        </is>
      </c>
      <c r="T22" s="7" t="inlineStr">
        <is>
          <t>share</t>
        </is>
      </c>
      <c r="U22" s="7" t="inlineStr">
        <is>
          <t>RL 180+
total</t>
        </is>
      </c>
      <c r="V22" s="7" t="inlineStr">
        <is>
          <t>share</t>
        </is>
      </c>
    </row>
    <row r="23">
      <c r="A23" s="9" t="inlineStr">
        <is>
          <t>In Country</t>
        </is>
      </c>
      <c r="B23" s="8" t="n"/>
      <c r="C23" s="32" t="n">
        <v>4638</v>
      </c>
      <c r="D23" s="33">
        <f>IF(OR(C23="",N($C$26)=0),"",C23/$C$26)</f>
        <v/>
      </c>
      <c r="E23" s="32" t="n"/>
      <c r="F23" s="33">
        <f>IF(OR(E23="",N($E$26)=0),"",E23/$E$26)</f>
        <v/>
      </c>
      <c r="G23" s="32" t="n"/>
      <c r="H23" s="33">
        <f>IF(OR(G23="",N($G$26)=0),"",G23/$G$26)</f>
        <v/>
      </c>
      <c r="I23" s="32" t="n"/>
      <c r="J23" s="33">
        <f>IF(OR(I23="",N($I$26)=0),"",I23/$I$26)</f>
        <v/>
      </c>
      <c r="K23" s="32" t="n"/>
      <c r="L23" s="33">
        <f>IF(OR(K23="",N($K$26)=0),"",K23/$K$26)</f>
        <v/>
      </c>
      <c r="M23" s="32" t="n">
        <v>1080</v>
      </c>
      <c r="N23" s="33">
        <f>IF(OR(M23="",N($M$26)=0),"",M23/$M$26)</f>
        <v/>
      </c>
      <c r="O23" s="32" t="n"/>
      <c r="P23" s="33">
        <f>IF(OR(O23="",N($O$26)=0),"",O23/$O$26)</f>
        <v/>
      </c>
      <c r="Q23" s="32" t="n"/>
      <c r="R23" s="33">
        <f>IF(OR(Q23="",N($Q$26)=0),"",Q23/$Q$26)</f>
        <v/>
      </c>
      <c r="S23" s="32" t="n"/>
      <c r="T23" s="33">
        <f>IF(OR(S23="",N($S$26)=0),"",S23/$S$26)</f>
        <v/>
      </c>
      <c r="U23" s="34">
        <f>IF(COUNT(O23,Q23,S23)=0,"",SUM(O23,Q23,S23))</f>
        <v/>
      </c>
      <c r="V23" s="33">
        <f>IF(OR(U23="",N($U$26)=0),"",U23/$U$26)</f>
        <v/>
      </c>
    </row>
    <row r="24">
      <c r="A24" s="12" t="inlineStr">
        <is>
          <t>Skip</t>
        </is>
      </c>
      <c r="B24" s="8" t="n"/>
      <c r="C24" s="32" t="n">
        <v>8489</v>
      </c>
      <c r="D24" s="33">
        <f>IF(OR(C24="",N($C$26)=0),"",C24/$C$26)</f>
        <v/>
      </c>
      <c r="E24" s="32" t="n"/>
      <c r="F24" s="33">
        <f>IF(OR(E24="",N($E$26)=0),"",E24/$E$26)</f>
        <v/>
      </c>
      <c r="G24" s="32" t="n"/>
      <c r="H24" s="33">
        <f>IF(OR(G24="",N($G$26)=0),"",G24/$G$26)</f>
        <v/>
      </c>
      <c r="I24" s="32" t="n"/>
      <c r="J24" s="33">
        <f>IF(OR(I24="",N($I$26)=0),"",I24/$I$26)</f>
        <v/>
      </c>
      <c r="K24" s="32" t="n"/>
      <c r="L24" s="33">
        <f>IF(OR(K24="",N($K$26)=0),"",K24/$K$26)</f>
        <v/>
      </c>
      <c r="M24" s="32" t="n">
        <v>1728</v>
      </c>
      <c r="N24" s="33">
        <f>IF(OR(M24="",N($M$26)=0),"",M24/$M$26)</f>
        <v/>
      </c>
      <c r="O24" s="32" t="n"/>
      <c r="P24" s="33">
        <f>IF(OR(O24="",N($O$26)=0),"",O24/$O$26)</f>
        <v/>
      </c>
      <c r="Q24" s="32" t="n"/>
      <c r="R24" s="33">
        <f>IF(OR(Q24="",N($Q$26)=0),"",Q24/$Q$26)</f>
        <v/>
      </c>
      <c r="S24" s="32" t="n"/>
      <c r="T24" s="33">
        <f>IF(OR(S24="",N($S$26)=0),"",S24/$S$26)</f>
        <v/>
      </c>
      <c r="U24" s="34">
        <f>IF(COUNT(O24,Q24,S24)=0,"",SUM(O24,Q24,S24))</f>
        <v/>
      </c>
      <c r="V24" s="33">
        <f>IF(OR(U24="",N($U$26)=0),"",U24/$U$26)</f>
        <v/>
      </c>
    </row>
    <row r="25">
      <c r="A25" s="13" t="inlineStr">
        <is>
          <t>Unknown</t>
        </is>
      </c>
      <c r="B25" s="8" t="n"/>
      <c r="C25" s="32" t="n">
        <v>6165</v>
      </c>
      <c r="D25" s="33">
        <f>IF(OR(C25="",N($C$26)=0),"",C25/$C$26)</f>
        <v/>
      </c>
      <c r="E25" s="32" t="n"/>
      <c r="F25" s="33">
        <f>IF(OR(E25="",N($E$26)=0),"",E25/$E$26)</f>
        <v/>
      </c>
      <c r="G25" s="32" t="n"/>
      <c r="H25" s="33">
        <f>IF(OR(G25="",N($G$26)=0),"",G25/$G$26)</f>
        <v/>
      </c>
      <c r="I25" s="32" t="n"/>
      <c r="J25" s="33">
        <f>IF(OR(I25="",N($I$26)=0),"",I25/$I$26)</f>
        <v/>
      </c>
      <c r="K25" s="32" t="n"/>
      <c r="L25" s="33">
        <f>IF(OR(K25="",N($K$26)=0),"",K25/$K$26)</f>
        <v/>
      </c>
      <c r="M25" s="32" t="n">
        <v>1177</v>
      </c>
      <c r="N25" s="33">
        <f>IF(OR(M25="",N($M$26)=0),"",M25/$M$26)</f>
        <v/>
      </c>
      <c r="O25" s="32" t="n"/>
      <c r="P25" s="33">
        <f>IF(OR(O25="",N($O$26)=0),"",O25/$O$26)</f>
        <v/>
      </c>
      <c r="Q25" s="32" t="n"/>
      <c r="R25" s="33">
        <f>IF(OR(Q25="",N($Q$26)=0),"",Q25/$Q$26)</f>
        <v/>
      </c>
      <c r="S25" s="32" t="n"/>
      <c r="T25" s="33">
        <f>IF(OR(S25="",N($S$26)=0),"",S25/$S$26)</f>
        <v/>
      </c>
      <c r="U25" s="34">
        <f>IF(COUNT(O25,Q25,S25)=0,"",SUM(O25,Q25,S25))</f>
        <v/>
      </c>
      <c r="V25" s="33">
        <f>IF(OR(U25="",N($U$26)=0),"",U25/$U$26)</f>
        <v/>
      </c>
    </row>
    <row r="26">
      <c r="A26" s="22" t="inlineStr">
        <is>
          <t>Total</t>
        </is>
      </c>
      <c r="B26" s="8" t="n"/>
      <c r="C26" s="35">
        <f>IF(COUNT(C23:C25)=0,"",SUM(C23:C25))</f>
        <v/>
      </c>
      <c r="D26" s="23" t="n"/>
      <c r="E26" s="35">
        <f>IF(COUNT(E23:E25)=0,"",SUM(E23:E25))</f>
        <v/>
      </c>
      <c r="F26" s="23" t="n"/>
      <c r="G26" s="35">
        <f>IF(COUNT(G23:G25)=0,"",SUM(G23:G25))</f>
        <v/>
      </c>
      <c r="H26" s="23" t="n"/>
      <c r="I26" s="35">
        <f>IF(COUNT(I23:I25)=0,"",SUM(I23:I25))</f>
        <v/>
      </c>
      <c r="J26" s="23" t="n"/>
      <c r="K26" s="35">
        <f>IF(COUNT(K23:K25)=0,"",SUM(K23:K25))</f>
        <v/>
      </c>
      <c r="L26" s="23" t="n"/>
      <c r="M26" s="35">
        <f>IF(COUNT(M23:M25)=0,"",SUM(M23:M25))</f>
        <v/>
      </c>
      <c r="N26" s="23" t="n"/>
      <c r="O26" s="35">
        <f>IF(COUNT(O23:O25)=0,"",SUM(O23:O25))</f>
        <v/>
      </c>
      <c r="P26" s="23" t="n"/>
      <c r="Q26" s="35">
        <f>IF(COUNT(Q23:Q25)=0,"",SUM(Q23:Q25))</f>
        <v/>
      </c>
      <c r="R26" s="23" t="n"/>
      <c r="S26" s="35">
        <f>IF(COUNT(S23:S25)=0,"",SUM(S23:S25))</f>
        <v/>
      </c>
      <c r="T26" s="23" t="n"/>
      <c r="U26" s="35">
        <f>IF(COUNT(U23:U25)=0,"",SUM(U23:U25))</f>
        <v/>
      </c>
      <c r="V26" s="23" t="n"/>
    </row>
    <row r="28" ht="20" customHeight="1">
      <c r="A28" s="5" t="inlineStr">
        <is>
          <t>Reachability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58" customHeight="1">
      <c r="A29" s="7" t="inlineStr">
        <is>
          <t>State</t>
        </is>
      </c>
      <c r="B29" s="8" t="n"/>
      <c r="C29" s="7" t="inlineStr">
        <is>
          <t>CC
61–180</t>
        </is>
      </c>
      <c r="D29" s="7" t="inlineStr">
        <is>
          <t>share</t>
        </is>
      </c>
      <c r="E29" s="7" t="inlineStr">
        <is>
          <t>CC
180+</t>
        </is>
      </c>
      <c r="F29" s="7" t="inlineStr">
        <is>
          <t>share</t>
        </is>
      </c>
      <c r="G29" s="7" t="inlineStr">
        <is>
          <t>RL 61–180
Personal Loans</t>
        </is>
      </c>
      <c r="H29" s="7" t="inlineStr">
        <is>
          <t>share</t>
        </is>
      </c>
      <c r="I29" s="7" t="inlineStr">
        <is>
          <t>RL 61–180
Personal Cash Loans</t>
        </is>
      </c>
      <c r="J29" s="7" t="inlineStr">
        <is>
          <t>share</t>
        </is>
      </c>
      <c r="K29" s="7" t="inlineStr">
        <is>
          <t>RL 61–180
Auto</t>
        </is>
      </c>
      <c r="L29" s="7" t="inlineStr">
        <is>
          <t>share</t>
        </is>
      </c>
      <c r="M29" s="7" t="inlineStr">
        <is>
          <t>RL 61–180
total</t>
        </is>
      </c>
      <c r="N29" s="7" t="inlineStr">
        <is>
          <t>share</t>
        </is>
      </c>
      <c r="O29" s="7" t="inlineStr">
        <is>
          <t>RL 180+
Personal Loans</t>
        </is>
      </c>
      <c r="P29" s="7" t="inlineStr">
        <is>
          <t>share</t>
        </is>
      </c>
      <c r="Q29" s="7" t="inlineStr">
        <is>
          <t>RL 180+
Personal Cash Loans</t>
        </is>
      </c>
      <c r="R29" s="7" t="inlineStr">
        <is>
          <t>share</t>
        </is>
      </c>
      <c r="S29" s="7" t="inlineStr">
        <is>
          <t>RL 180+
Auto</t>
        </is>
      </c>
      <c r="T29" s="7" t="inlineStr">
        <is>
          <t>share</t>
        </is>
      </c>
      <c r="U29" s="7" t="inlineStr">
        <is>
          <t>RL 180+
total</t>
        </is>
      </c>
      <c r="V29" s="7" t="inlineStr">
        <is>
          <t>share</t>
        </is>
      </c>
    </row>
    <row r="30">
      <c r="A30" s="9" t="inlineStr">
        <is>
          <t>Reachable</t>
        </is>
      </c>
      <c r="B30" s="8" t="n"/>
      <c r="C30" s="32" t="n">
        <v>4043</v>
      </c>
      <c r="D30" s="33">
        <f>IF(OR(C30="",N($C$33)=0),"",C30/$C$33)</f>
        <v/>
      </c>
      <c r="E30" s="32" t="n"/>
      <c r="F30" s="33">
        <f>IF(OR(E30="",N($E$33)=0),"",E30/$E$33)</f>
        <v/>
      </c>
      <c r="G30" s="32" t="n"/>
      <c r="H30" s="33">
        <f>IF(OR(G30="",N($G$33)=0),"",G30/$G$33)</f>
        <v/>
      </c>
      <c r="I30" s="32" t="n"/>
      <c r="J30" s="33">
        <f>IF(OR(I30="",N($I$33)=0),"",I30/$I$33)</f>
        <v/>
      </c>
      <c r="K30" s="32" t="n"/>
      <c r="L30" s="33">
        <f>IF(OR(K30="",N($K$33)=0),"",K30/$K$33)</f>
        <v/>
      </c>
      <c r="M30" s="32" t="n">
        <v>1043</v>
      </c>
      <c r="N30" s="33">
        <f>IF(OR(M30="",N($M$33)=0),"",M30/$M$33)</f>
        <v/>
      </c>
      <c r="O30" s="32" t="n"/>
      <c r="P30" s="33">
        <f>IF(OR(O30="",N($O$33)=0),"",O30/$O$33)</f>
        <v/>
      </c>
      <c r="Q30" s="32" t="n"/>
      <c r="R30" s="33">
        <f>IF(OR(Q30="",N($Q$33)=0),"",Q30/$Q$33)</f>
        <v/>
      </c>
      <c r="S30" s="32" t="n"/>
      <c r="T30" s="33">
        <f>IF(OR(S30="",N($S$33)=0),"",S30/$S$33)</f>
        <v/>
      </c>
      <c r="U30" s="34">
        <f>IF(COUNT(O30,Q30,S30)=0,"",SUM(O30,Q30,S30))</f>
        <v/>
      </c>
      <c r="V30" s="33">
        <f>IF(OR(U30="",N($U$33)=0),"",U30/$U$33)</f>
        <v/>
      </c>
    </row>
    <row r="31">
      <c r="A31" s="12" t="inlineStr">
        <is>
          <t>Non-Reachable</t>
        </is>
      </c>
      <c r="B31" s="8" t="n"/>
      <c r="C31" s="32" t="n">
        <v>13038</v>
      </c>
      <c r="D31" s="33">
        <f>IF(OR(C31="",N($C$33)=0),"",C31/$C$33)</f>
        <v/>
      </c>
      <c r="E31" s="32" t="n"/>
      <c r="F31" s="33">
        <f>IF(OR(E31="",N($E$33)=0),"",E31/$E$33)</f>
        <v/>
      </c>
      <c r="G31" s="32" t="n"/>
      <c r="H31" s="33">
        <f>IF(OR(G31="",N($G$33)=0),"",G31/$G$33)</f>
        <v/>
      </c>
      <c r="I31" s="32" t="n"/>
      <c r="J31" s="33">
        <f>IF(OR(I31="",N($I$33)=0),"",I31/$I$33)</f>
        <v/>
      </c>
      <c r="K31" s="32" t="n"/>
      <c r="L31" s="33">
        <f>IF(OR(K31="",N($K$33)=0),"",K31/$K$33)</f>
        <v/>
      </c>
      <c r="M31" s="32" t="n">
        <v>2292</v>
      </c>
      <c r="N31" s="33">
        <f>IF(OR(M31="",N($M$33)=0),"",M31/$M$33)</f>
        <v/>
      </c>
      <c r="O31" s="32" t="n"/>
      <c r="P31" s="33">
        <f>IF(OR(O31="",N($O$33)=0),"",O31/$O$33)</f>
        <v/>
      </c>
      <c r="Q31" s="32" t="n"/>
      <c r="R31" s="33">
        <f>IF(OR(Q31="",N($Q$33)=0),"",Q31/$Q$33)</f>
        <v/>
      </c>
      <c r="S31" s="32" t="n"/>
      <c r="T31" s="33">
        <f>IF(OR(S31="",N($S$33)=0),"",S31/$S$33)</f>
        <v/>
      </c>
      <c r="U31" s="34">
        <f>IF(COUNT(O31,Q31,S31)=0,"",SUM(O31,Q31,S31))</f>
        <v/>
      </c>
      <c r="V31" s="33">
        <f>IF(OR(U31="",N($U$33)=0),"",U31/$U$33)</f>
        <v/>
      </c>
    </row>
    <row r="32">
      <c r="A32" s="13" t="inlineStr">
        <is>
          <t>Unknown</t>
        </is>
      </c>
      <c r="B32" s="8" t="n"/>
      <c r="C32" s="32" t="n">
        <v>2211</v>
      </c>
      <c r="D32" s="33">
        <f>IF(OR(C32="",N($C$33)=0),"",C32/$C$33)</f>
        <v/>
      </c>
      <c r="E32" s="32" t="n"/>
      <c r="F32" s="33">
        <f>IF(OR(E32="",N($E$33)=0),"",E32/$E$33)</f>
        <v/>
      </c>
      <c r="G32" s="32" t="n"/>
      <c r="H32" s="33">
        <f>IF(OR(G32="",N($G$33)=0),"",G32/$G$33)</f>
        <v/>
      </c>
      <c r="I32" s="32" t="n"/>
      <c r="J32" s="33">
        <f>IF(OR(I32="",N($I$33)=0),"",I32/$I$33)</f>
        <v/>
      </c>
      <c r="K32" s="32" t="n"/>
      <c r="L32" s="33">
        <f>IF(OR(K32="",N($K$33)=0),"",K32/$K$33)</f>
        <v/>
      </c>
      <c r="M32" s="32" t="n">
        <v>650</v>
      </c>
      <c r="N32" s="33">
        <f>IF(OR(M32="",N($M$33)=0),"",M32/$M$33)</f>
        <v/>
      </c>
      <c r="O32" s="32" t="n"/>
      <c r="P32" s="33">
        <f>IF(OR(O32="",N($O$33)=0),"",O32/$O$33)</f>
        <v/>
      </c>
      <c r="Q32" s="32" t="n"/>
      <c r="R32" s="33">
        <f>IF(OR(Q32="",N($Q$33)=0),"",Q32/$Q$33)</f>
        <v/>
      </c>
      <c r="S32" s="32" t="n"/>
      <c r="T32" s="33">
        <f>IF(OR(S32="",N($S$33)=0),"",S32/$S$33)</f>
        <v/>
      </c>
      <c r="U32" s="34">
        <f>IF(COUNT(O32,Q32,S32)=0,"",SUM(O32,Q32,S32))</f>
        <v/>
      </c>
      <c r="V32" s="33">
        <f>IF(OR(U32="",N($U$33)=0),"",U32/$U$33)</f>
        <v/>
      </c>
    </row>
    <row r="33">
      <c r="A33" s="22" t="inlineStr">
        <is>
          <t>Total</t>
        </is>
      </c>
      <c r="B33" s="8" t="n"/>
      <c r="C33" s="35">
        <f>IF(COUNT(C30:C32)=0,"",SUM(C30:C32))</f>
        <v/>
      </c>
      <c r="D33" s="23" t="n"/>
      <c r="E33" s="35">
        <f>IF(COUNT(E30:E32)=0,"",SUM(E30:E32))</f>
        <v/>
      </c>
      <c r="F33" s="23" t="n"/>
      <c r="G33" s="35">
        <f>IF(COUNT(G30:G32)=0,"",SUM(G30:G32))</f>
        <v/>
      </c>
      <c r="H33" s="23" t="n"/>
      <c r="I33" s="35">
        <f>IF(COUNT(I30:I32)=0,"",SUM(I30:I32))</f>
        <v/>
      </c>
      <c r="J33" s="23" t="n"/>
      <c r="K33" s="35">
        <f>IF(COUNT(K30:K32)=0,"",SUM(K30:K32))</f>
        <v/>
      </c>
      <c r="L33" s="23" t="n"/>
      <c r="M33" s="35">
        <f>IF(COUNT(M30:M32)=0,"",SUM(M30:M32))</f>
        <v/>
      </c>
      <c r="N33" s="23" t="n"/>
      <c r="O33" s="35">
        <f>IF(COUNT(O30:O32)=0,"",SUM(O30:O32))</f>
        <v/>
      </c>
      <c r="P33" s="23" t="n"/>
      <c r="Q33" s="35">
        <f>IF(COUNT(Q30:Q32)=0,"",SUM(Q30:Q32))</f>
        <v/>
      </c>
      <c r="R33" s="23" t="n"/>
      <c r="S33" s="35">
        <f>IF(COUNT(S30:S32)=0,"",SUM(S30:S32))</f>
        <v/>
      </c>
      <c r="T33" s="23" t="n"/>
      <c r="U33" s="35">
        <f>IF(COUNT(U30:U32)=0,"",SUM(U30:U32))</f>
        <v/>
      </c>
      <c r="V33" s="23" t="n"/>
    </row>
    <row r="35" ht="20" customHeight="1">
      <c r="A35" s="5" t="inlineStr">
        <is>
          <t>Why Unknown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58" customHeight="1">
      <c r="A36" s="7" t="inlineStr">
        <is>
          <t>Reason</t>
        </is>
      </c>
      <c r="B36" s="8" t="n"/>
      <c r="C36" s="7" t="inlineStr">
        <is>
          <t>CC
61–180</t>
        </is>
      </c>
      <c r="D36" s="7" t="inlineStr">
        <is>
          <t>share</t>
        </is>
      </c>
      <c r="E36" s="7" t="inlineStr">
        <is>
          <t>CC
180+</t>
        </is>
      </c>
      <c r="F36" s="7" t="inlineStr">
        <is>
          <t>share</t>
        </is>
      </c>
      <c r="G36" s="7" t="inlineStr">
        <is>
          <t>RL 61–180
Personal Loans</t>
        </is>
      </c>
      <c r="H36" s="7" t="inlineStr">
        <is>
          <t>share</t>
        </is>
      </c>
      <c r="I36" s="7" t="inlineStr">
        <is>
          <t>RL 61–180
Personal Cash Loans</t>
        </is>
      </c>
      <c r="J36" s="7" t="inlineStr">
        <is>
          <t>share</t>
        </is>
      </c>
      <c r="K36" s="7" t="inlineStr">
        <is>
          <t>RL 61–180
Auto</t>
        </is>
      </c>
      <c r="L36" s="7" t="inlineStr">
        <is>
          <t>share</t>
        </is>
      </c>
      <c r="M36" s="7" t="inlineStr">
        <is>
          <t>RL 61–180
total</t>
        </is>
      </c>
      <c r="N36" s="7" t="inlineStr">
        <is>
          <t>share</t>
        </is>
      </c>
      <c r="O36" s="7" t="inlineStr">
        <is>
          <t>RL 180+
Personal Loans</t>
        </is>
      </c>
      <c r="P36" s="7" t="inlineStr">
        <is>
          <t>share</t>
        </is>
      </c>
      <c r="Q36" s="7" t="inlineStr">
        <is>
          <t>RL 180+
Personal Cash Loans</t>
        </is>
      </c>
      <c r="R36" s="7" t="inlineStr">
        <is>
          <t>share</t>
        </is>
      </c>
      <c r="S36" s="7" t="inlineStr">
        <is>
          <t>RL 180+
Auto</t>
        </is>
      </c>
      <c r="T36" s="7" t="inlineStr">
        <is>
          <t>share</t>
        </is>
      </c>
      <c r="U36" s="7" t="inlineStr">
        <is>
          <t>RL 180+
total</t>
        </is>
      </c>
      <c r="V36" s="7" t="inlineStr">
        <is>
          <t>share</t>
        </is>
      </c>
    </row>
    <row r="37">
      <c r="A37" s="13" t="inlineStr">
        <is>
          <t>Location: no evidence</t>
        </is>
      </c>
      <c r="B37" s="8" t="n"/>
      <c r="C37" s="32" t="n">
        <v>344</v>
      </c>
      <c r="D37" s="33">
        <f>IF(OR(C37="",N($C$17)=0),"",C37/$C$17)</f>
        <v/>
      </c>
      <c r="E37" s="32" t="n"/>
      <c r="F37" s="33">
        <f>IF(OR(E37="",N($E$17)=0),"",E37/$E$17)</f>
        <v/>
      </c>
      <c r="G37" s="32" t="n"/>
      <c r="H37" s="33">
        <f>IF(OR(G37="",N($G$17)=0),"",G37/$G$17)</f>
        <v/>
      </c>
      <c r="I37" s="32" t="n"/>
      <c r="J37" s="33">
        <f>IF(OR(I37="",N($I$17)=0),"",I37/$I$17)</f>
        <v/>
      </c>
      <c r="K37" s="32" t="n"/>
      <c r="L37" s="33">
        <f>IF(OR(K37="",N($K$17)=0),"",K37/$K$17)</f>
        <v/>
      </c>
      <c r="M37" s="34">
        <f>IF(COUNT(G37,I37,K37)=0,"",SUM(G37,I37,K37))</f>
        <v/>
      </c>
      <c r="N37" s="33">
        <f>IF(OR(M37="",N($M$17)=0),"",M37/$M$17)</f>
        <v/>
      </c>
      <c r="O37" s="32" t="n"/>
      <c r="P37" s="33">
        <f>IF(OR(O37="",N($O$17)=0),"",O37/$O$17)</f>
        <v/>
      </c>
      <c r="Q37" s="32" t="n"/>
      <c r="R37" s="33">
        <f>IF(OR(Q37="",N($Q$17)=0),"",Q37/$Q$17)</f>
        <v/>
      </c>
      <c r="S37" s="32" t="n"/>
      <c r="T37" s="33">
        <f>IF(OR(S37="",N($S$17)=0),"",S37/$S$17)</f>
        <v/>
      </c>
      <c r="U37" s="34">
        <f>IF(COUNT(O37,Q37,S37)=0,"",SUM(O37,Q37,S37))</f>
        <v/>
      </c>
      <c r="V37" s="33">
        <f>IF(OR(U37="",N($U$17)=0),"",U37/$U$17)</f>
        <v/>
      </c>
    </row>
    <row r="38">
      <c r="A38" s="13" t="inlineStr">
        <is>
          <t>Location: UAE evidence too old</t>
        </is>
      </c>
      <c r="B38" s="8" t="n"/>
      <c r="C38" s="32" t="n">
        <v>5821</v>
      </c>
      <c r="D38" s="33">
        <f>IF(OR(C38="",N($C$17)=0),"",C38/$C$17)</f>
        <v/>
      </c>
      <c r="E38" s="32" t="n"/>
      <c r="F38" s="33">
        <f>IF(OR(E38="",N($E$17)=0),"",E38/$E$17)</f>
        <v/>
      </c>
      <c r="G38" s="32" t="n"/>
      <c r="H38" s="33">
        <f>IF(OR(G38="",N($G$17)=0),"",G38/$G$17)</f>
        <v/>
      </c>
      <c r="I38" s="32" t="n"/>
      <c r="J38" s="33">
        <f>IF(OR(I38="",N($I$17)=0),"",I38/$I$17)</f>
        <v/>
      </c>
      <c r="K38" s="32" t="n"/>
      <c r="L38" s="33">
        <f>IF(OR(K38="",N($K$17)=0),"",K38/$K$17)</f>
        <v/>
      </c>
      <c r="M38" s="34">
        <f>IF(COUNT(G38,I38,K38)=0,"",SUM(G38,I38,K38))</f>
        <v/>
      </c>
      <c r="N38" s="33">
        <f>IF(OR(M38="",N($M$17)=0),"",M38/$M$17)</f>
        <v/>
      </c>
      <c r="O38" s="32" t="n"/>
      <c r="P38" s="33">
        <f>IF(OR(O38="",N($O$17)=0),"",O38/$O$17)</f>
        <v/>
      </c>
      <c r="Q38" s="32" t="n"/>
      <c r="R38" s="33">
        <f>IF(OR(Q38="",N($Q$17)=0),"",Q38/$Q$17)</f>
        <v/>
      </c>
      <c r="S38" s="32" t="n"/>
      <c r="T38" s="33">
        <f>IF(OR(S38="",N($S$17)=0),"",S38/$S$17)</f>
        <v/>
      </c>
      <c r="U38" s="34">
        <f>IF(COUNT(O38,Q38,S38)=0,"",SUM(O38,Q38,S38))</f>
        <v/>
      </c>
      <c r="V38" s="33">
        <f>IF(OR(U38="",N($U$17)=0),"",U38/$U$17)</f>
        <v/>
      </c>
    </row>
    <row r="39">
      <c r="A39" s="13" t="inlineStr">
        <is>
          <t>Reachability: no calls</t>
        </is>
      </c>
      <c r="B39" s="8" t="n"/>
      <c r="C39" s="32" t="n">
        <v>273</v>
      </c>
      <c r="D39" s="33">
        <f>IF(OR(C39="",N($C$17)=0),"",C39/$C$17)</f>
        <v/>
      </c>
      <c r="E39" s="32" t="n"/>
      <c r="F39" s="33">
        <f>IF(OR(E39="",N($E$17)=0),"",E39/$E$17)</f>
        <v/>
      </c>
      <c r="G39" s="32" t="n"/>
      <c r="H39" s="33">
        <f>IF(OR(G39="",N($G$17)=0),"",G39/$G$17)</f>
        <v/>
      </c>
      <c r="I39" s="32" t="n"/>
      <c r="J39" s="33">
        <f>IF(OR(I39="",N($I$17)=0),"",I39/$I$17)</f>
        <v/>
      </c>
      <c r="K39" s="32" t="n"/>
      <c r="L39" s="33">
        <f>IF(OR(K39="",N($K$17)=0),"",K39/$K$17)</f>
        <v/>
      </c>
      <c r="M39" s="34">
        <f>IF(COUNT(G39,I39,K39)=0,"",SUM(G39,I39,K39))</f>
        <v/>
      </c>
      <c r="N39" s="33">
        <f>IF(OR(M39="",N($M$17)=0),"",M39/$M$17)</f>
        <v/>
      </c>
      <c r="O39" s="32" t="n"/>
      <c r="P39" s="33">
        <f>IF(OR(O39="",N($O$17)=0),"",O39/$O$17)</f>
        <v/>
      </c>
      <c r="Q39" s="32" t="n"/>
      <c r="R39" s="33">
        <f>IF(OR(Q39="",N($Q$17)=0),"",Q39/$Q$17)</f>
        <v/>
      </c>
      <c r="S39" s="32" t="n"/>
      <c r="T39" s="33">
        <f>IF(OR(S39="",N($S$17)=0),"",S39/$S$17)</f>
        <v/>
      </c>
      <c r="U39" s="34">
        <f>IF(COUNT(O39,Q39,S39)=0,"",SUM(O39,Q39,S39))</f>
        <v/>
      </c>
      <c r="V39" s="33">
        <f>IF(OR(U39="",N($U$17)=0),"",U39/$U$17)</f>
        <v/>
      </c>
    </row>
    <row r="40">
      <c r="A40" s="13" t="inlineStr">
        <is>
          <t>Reachability: no recent confirmed contact</t>
        </is>
      </c>
      <c r="B40" s="8" t="n"/>
      <c r="C40" s="32" t="n">
        <v>1938</v>
      </c>
      <c r="D40" s="33">
        <f>IF(OR(C40="",N($C$17)=0),"",C40/$C$17)</f>
        <v/>
      </c>
      <c r="E40" s="32" t="n"/>
      <c r="F40" s="33">
        <f>IF(OR(E40="",N($E$17)=0),"",E40/$E$17)</f>
        <v/>
      </c>
      <c r="G40" s="32" t="n"/>
      <c r="H40" s="33">
        <f>IF(OR(G40="",N($G$17)=0),"",G40/$G$17)</f>
        <v/>
      </c>
      <c r="I40" s="32" t="n"/>
      <c r="J40" s="33">
        <f>IF(OR(I40="",N($I$17)=0),"",I40/$I$17)</f>
        <v/>
      </c>
      <c r="K40" s="32" t="n"/>
      <c r="L40" s="33">
        <f>IF(OR(K40="",N($K$17)=0),"",K40/$K$17)</f>
        <v/>
      </c>
      <c r="M40" s="34">
        <f>IF(COUNT(G40,I40,K40)=0,"",SUM(G40,I40,K40))</f>
        <v/>
      </c>
      <c r="N40" s="33">
        <f>IF(OR(M40="",N($M$17)=0),"",M40/$M$17)</f>
        <v/>
      </c>
      <c r="O40" s="32" t="n"/>
      <c r="P40" s="33">
        <f>IF(OR(O40="",N($O$17)=0),"",O40/$O$17)</f>
        <v/>
      </c>
      <c r="Q40" s="32" t="n"/>
      <c r="R40" s="33">
        <f>IF(OR(Q40="",N($Q$17)=0),"",Q40/$Q$17)</f>
        <v/>
      </c>
      <c r="S40" s="32" t="n"/>
      <c r="T40" s="33">
        <f>IF(OR(S40="",N($S$17)=0),"",S40/$S$17)</f>
        <v/>
      </c>
      <c r="U40" s="34">
        <f>IF(COUNT(O40,Q40,S40)=0,"",SUM(O40,Q40,S40))</f>
        <v/>
      </c>
      <c r="V40" s="33">
        <f>IF(OR(U40="",N($U$17)=0),"",U40/$U$17)</f>
        <v/>
      </c>
    </row>
    <row r="41" ht="19.5" customHeight="1">
      <c r="A41" s="2" t="inlineStr">
        <is>
          <t>Shares are of all accounts in the variant.</t>
        </is>
      </c>
    </row>
    <row r="43" ht="19.5" customHeight="1">
      <c r="A43" s="2" t="inlineStr">
        <is>
          <t>Location and reachability are computed on deceased accounts too, so their totals include them. Aggregates only.</t>
        </is>
      </c>
    </row>
  </sheetData>
  <mergeCells count="22">
    <mergeCell ref="A2:V2"/>
    <mergeCell ref="A24:B24"/>
    <mergeCell ref="A30:B30"/>
    <mergeCell ref="A36:B36"/>
    <mergeCell ref="A43:V43"/>
    <mergeCell ref="A7:B7"/>
    <mergeCell ref="A25:B25"/>
    <mergeCell ref="A37:B37"/>
    <mergeCell ref="A18:B18"/>
    <mergeCell ref="A26:B26"/>
    <mergeCell ref="A33:B33"/>
    <mergeCell ref="A32:B32"/>
    <mergeCell ref="A23:B23"/>
    <mergeCell ref="A17:B17"/>
    <mergeCell ref="A22:B22"/>
    <mergeCell ref="A38:B38"/>
    <mergeCell ref="A29:B29"/>
    <mergeCell ref="A41:V41"/>
    <mergeCell ref="A19:B19"/>
    <mergeCell ref="A40:B40"/>
    <mergeCell ref="A31:B31"/>
    <mergeCell ref="A39:B39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7" customWidth="1" min="3" max="3"/>
    <col width="11" customWidth="1" min="4" max="4"/>
    <col width="7" customWidth="1" min="5" max="5"/>
  </cols>
  <sheetData>
    <row r="1">
      <c r="A1" s="1" t="inlineStr">
        <is>
          <t>Results detail</t>
        </is>
      </c>
    </row>
    <row r="2" ht="20" customHeight="1">
      <c r="A2" s="2" t="inlineStr">
        <is>
          <t>Which rules fire and why, 61–180 DPD, 31 Aug 2026. Loans: rule and call blocks not run yet.</t>
        </is>
      </c>
    </row>
    <row r="4" ht="20" customHeight="1">
      <c r="A4" s="5" t="inlineStr">
        <is>
          <t>Location: rule and the evidence that decided it</t>
        </is>
      </c>
      <c r="B4" s="6" t="n"/>
      <c r="C4" s="6" t="n"/>
      <c r="D4" s="6" t="n"/>
      <c r="E4" s="6" t="n"/>
    </row>
    <row r="5" ht="20" customHeight="1">
      <c r="A5" s="7" t="inlineStr"/>
      <c r="B5" s="7" t="inlineStr">
        <is>
          <t>Credit cards</t>
        </is>
      </c>
      <c r="C5" s="7" t="inlineStr">
        <is>
          <t>share</t>
        </is>
      </c>
      <c r="D5" s="7" t="inlineStr">
        <is>
          <t>Retail loans</t>
        </is>
      </c>
      <c r="E5" s="7" t="inlineStr">
        <is>
          <t>share</t>
        </is>
      </c>
    </row>
    <row r="6">
      <c r="A6" s="12" t="inlineStr">
        <is>
          <t>Skip · latest evidence a foreign login</t>
        </is>
      </c>
      <c r="B6" s="32" t="n">
        <v>5772</v>
      </c>
      <c r="C6" s="33">
        <f>IF(B6="","",B6/19292)</f>
        <v/>
      </c>
      <c r="D6" s="32" t="n"/>
      <c r="E6" s="33">
        <f>IF(D6="","",D6/3985)</f>
        <v/>
      </c>
    </row>
    <row r="7">
      <c r="A7" s="12" t="inlineStr">
        <is>
          <t>Skip · latest evidence foreign credit-card use</t>
        </is>
      </c>
      <c r="B7" s="32" t="n">
        <v>551</v>
      </c>
      <c r="C7" s="33">
        <f>IF(B7="","",B7/19292)</f>
        <v/>
      </c>
      <c r="D7" s="32" t="n"/>
      <c r="E7" s="33">
        <f>IF(D7="","",D7/3985)</f>
        <v/>
      </c>
    </row>
    <row r="8">
      <c r="A8" s="12" t="inlineStr">
        <is>
          <t>Skip · latest evidence foreign debit-card use</t>
        </is>
      </c>
      <c r="B8" s="32" t="n">
        <v>143</v>
      </c>
      <c r="C8" s="33">
        <f>IF(B8="","",B8/19292)</f>
        <v/>
      </c>
      <c r="D8" s="32" t="n"/>
      <c r="E8" s="33">
        <f>IF(D8="","",D8/3985)</f>
        <v/>
      </c>
    </row>
    <row r="9">
      <c r="A9" s="12" t="inlineStr">
        <is>
          <t>Skip · latest evidence a departure note</t>
        </is>
      </c>
      <c r="B9" s="32" t="n">
        <v>403</v>
      </c>
      <c r="C9" s="33">
        <f>IF(B9="","",B9/19292)</f>
        <v/>
      </c>
      <c r="D9" s="32" t="n"/>
      <c r="E9" s="33">
        <f>IF(D9="","",D9/3985)</f>
        <v/>
      </c>
    </row>
    <row r="10">
      <c r="A10" s="12" t="inlineStr">
        <is>
          <t>Skip · travel rule</t>
        </is>
      </c>
      <c r="B10" s="32" t="n">
        <v>1620</v>
      </c>
      <c r="C10" s="33">
        <f>IF(B10="","",B10/19292)</f>
        <v/>
      </c>
      <c r="D10" s="32" t="n"/>
      <c r="E10" s="33">
        <f>IF(D10="","",D10/3985)</f>
        <v/>
      </c>
    </row>
    <row r="11">
      <c r="A11" s="9" t="inlineStr">
        <is>
          <t>In Country · UAE login</t>
        </is>
      </c>
      <c r="B11" s="32" t="n">
        <v>4367</v>
      </c>
      <c r="C11" s="33">
        <f>IF(B11="","",B11/19292)</f>
        <v/>
      </c>
      <c r="D11" s="32" t="n"/>
      <c r="E11" s="33">
        <f>IF(D11="","",D11/3985)</f>
        <v/>
      </c>
    </row>
    <row r="12">
      <c r="A12" s="9" t="inlineStr">
        <is>
          <t>In Country · UAE credit-card use</t>
        </is>
      </c>
      <c r="B12" s="32" t="n">
        <v>123</v>
      </c>
      <c r="C12" s="33">
        <f>IF(B12="","",B12/19292)</f>
        <v/>
      </c>
      <c r="D12" s="32" t="n"/>
      <c r="E12" s="33">
        <f>IF(D12="","",D12/3985)</f>
        <v/>
      </c>
    </row>
    <row r="13">
      <c r="A13" s="9" t="inlineStr">
        <is>
          <t>In Country · UAE debit-card use</t>
        </is>
      </c>
      <c r="B13" s="32" t="n">
        <v>148</v>
      </c>
      <c r="C13" s="33">
        <f>IF(B13="","",B13/19292)</f>
        <v/>
      </c>
      <c r="D13" s="32" t="n"/>
      <c r="E13" s="33">
        <f>IF(D13="","",D13/3985)</f>
        <v/>
      </c>
    </row>
    <row r="14">
      <c r="A14" s="13" t="inlineStr">
        <is>
          <t>Unknown · UAE evidence older than the window</t>
        </is>
      </c>
      <c r="B14" s="32" t="n">
        <v>5821</v>
      </c>
      <c r="C14" s="33">
        <f>IF(B14="","",B14/19292)</f>
        <v/>
      </c>
      <c r="D14" s="32" t="n"/>
      <c r="E14" s="33">
        <f>IF(D14="","",D14/3985)</f>
        <v/>
      </c>
    </row>
    <row r="15">
      <c r="A15" s="13" t="inlineStr">
        <is>
          <t>Unknown · no evidence</t>
        </is>
      </c>
      <c r="B15" s="32" t="n">
        <v>344</v>
      </c>
      <c r="C15" s="33">
        <f>IF(B15="","",B15/19292)</f>
        <v/>
      </c>
      <c r="D15" s="32" t="n"/>
      <c r="E15" s="33">
        <f>IF(D15="","",D15/3985)</f>
        <v/>
      </c>
    </row>
    <row r="17" ht="20" customHeight="1">
      <c r="A17" s="5" t="inlineStr">
        <is>
          <t>Reachability: last contact</t>
        </is>
      </c>
      <c r="B17" s="6" t="n"/>
      <c r="C17" s="6" t="n"/>
      <c r="D17" s="6" t="n"/>
      <c r="E17" s="6" t="n"/>
    </row>
    <row r="18" ht="20" customHeight="1">
      <c r="A18" s="7" t="inlineStr"/>
      <c r="B18" s="7" t="inlineStr">
        <is>
          <t>Credit cards</t>
        </is>
      </c>
      <c r="C18" s="7" t="inlineStr">
        <is>
          <t>share</t>
        </is>
      </c>
      <c r="D18" s="7" t="inlineStr">
        <is>
          <t>Retail loans</t>
        </is>
      </c>
      <c r="E18" s="7" t="inlineStr">
        <is>
          <t>share</t>
        </is>
      </c>
    </row>
    <row r="19">
      <c r="A19" s="12" t="inlineStr">
        <is>
          <t>Non-Reachable · contact in the window, then 3 failed days</t>
        </is>
      </c>
      <c r="B19" s="32" t="n">
        <v>3386</v>
      </c>
      <c r="C19" s="33">
        <f>IF(B19="","",B19/19292)</f>
        <v/>
      </c>
      <c r="D19" s="32" t="n"/>
      <c r="E19" s="33">
        <f>IF(D19="","",D19/3985)</f>
        <v/>
      </c>
    </row>
    <row r="20">
      <c r="A20" s="12" t="inlineStr">
        <is>
          <t>Non-Reachable · contact before the window</t>
        </is>
      </c>
      <c r="B20" s="32" t="n">
        <v>4691</v>
      </c>
      <c r="C20" s="33">
        <f>IF(B20="","",B20/19292)</f>
        <v/>
      </c>
      <c r="D20" s="32" t="n"/>
      <c r="E20" s="33">
        <f>IF(D20="","",D20/3985)</f>
        <v/>
      </c>
    </row>
    <row r="21">
      <c r="A21" s="12" t="inlineStr">
        <is>
          <t>Non-Reachable · never a contact</t>
        </is>
      </c>
      <c r="B21" s="32" t="n">
        <v>4961</v>
      </c>
      <c r="C21" s="33">
        <f>IF(B21="","",B21/19292)</f>
        <v/>
      </c>
      <c r="D21" s="32" t="n"/>
      <c r="E21" s="33">
        <f>IF(D21="","",D21/3985)</f>
        <v/>
      </c>
    </row>
    <row r="22">
      <c r="A22" s="9" t="inlineStr">
        <is>
          <t>Reachable · contact in the window</t>
        </is>
      </c>
      <c r="B22" s="32" t="n">
        <v>4043</v>
      </c>
      <c r="C22" s="33">
        <f>IF(B22="","",B22/19292)</f>
        <v/>
      </c>
      <c r="D22" s="32" t="n"/>
      <c r="E22" s="33">
        <f>IF(D22="","",D22/3985)</f>
        <v/>
      </c>
    </row>
    <row r="23">
      <c r="A23" s="13" t="inlineStr">
        <is>
          <t>Unknown · contact before the window</t>
        </is>
      </c>
      <c r="B23" s="32" t="n">
        <v>1065</v>
      </c>
      <c r="C23" s="33">
        <f>IF(B23="","",B23/19292)</f>
        <v/>
      </c>
      <c r="D23" s="32" t="n"/>
      <c r="E23" s="33">
        <f>IF(D23="","",D23/3985)</f>
        <v/>
      </c>
    </row>
    <row r="24">
      <c r="A24" s="13" t="inlineStr">
        <is>
          <t>Unknown · never a contact (273 never called)</t>
        </is>
      </c>
      <c r="B24" s="32" t="n">
        <v>1146</v>
      </c>
      <c r="C24" s="33">
        <f>IF(B24="","",B24/19292)</f>
        <v/>
      </c>
      <c r="D24" s="32" t="n"/>
      <c r="E24" s="33">
        <f>IF(D24="","",D24/3985)</f>
        <v/>
      </c>
    </row>
    <row r="26" ht="20" customHeight="1">
      <c r="A26" s="5" t="inlineStr">
        <is>
          <t>Call days in the window</t>
        </is>
      </c>
      <c r="B26" s="6" t="n"/>
      <c r="C26" s="6" t="n"/>
      <c r="D26" s="6" t="n"/>
      <c r="E26" s="6" t="n"/>
    </row>
    <row r="27" ht="20" customHeight="1">
      <c r="A27" s="7" t="inlineStr"/>
      <c r="B27" s="7" t="inlineStr">
        <is>
          <t>Credit cards</t>
        </is>
      </c>
      <c r="C27" s="7" t="inlineStr">
        <is>
          <t>share</t>
        </is>
      </c>
      <c r="D27" s="7" t="inlineStr">
        <is>
          <t>Retail loans</t>
        </is>
      </c>
      <c r="E27" s="7" t="inlineStr">
        <is>
          <t>share</t>
        </is>
      </c>
    </row>
    <row r="28">
      <c r="A28" s="13" t="inlineStr">
        <is>
          <t>None</t>
        </is>
      </c>
      <c r="B28" s="32" t="n">
        <v>743</v>
      </c>
      <c r="C28" s="33">
        <f>IF(B28="","",B28/19292)</f>
        <v/>
      </c>
      <c r="D28" s="32" t="n"/>
      <c r="E28" s="33">
        <f>IF(D28="","",D28/3985)</f>
        <v/>
      </c>
    </row>
    <row r="29">
      <c r="A29" s="13" t="inlineStr">
        <is>
          <t>1–2</t>
        </is>
      </c>
      <c r="B29" s="32" t="n">
        <v>446</v>
      </c>
      <c r="C29" s="33">
        <f>IF(B29="","",B29/19292)</f>
        <v/>
      </c>
      <c r="D29" s="32" t="n"/>
      <c r="E29" s="33">
        <f>IF(D29="","",D29/3985)</f>
        <v/>
      </c>
    </row>
    <row r="30">
      <c r="A30" s="13" t="inlineStr">
        <is>
          <t>3–5</t>
        </is>
      </c>
      <c r="B30" s="32" t="n">
        <v>1539</v>
      </c>
      <c r="C30" s="33">
        <f>IF(B30="","",B30/19292)</f>
        <v/>
      </c>
      <c r="D30" s="32" t="n"/>
      <c r="E30" s="33">
        <f>IF(D30="","",D30/3985)</f>
        <v/>
      </c>
    </row>
    <row r="31">
      <c r="A31" s="13" t="inlineStr">
        <is>
          <t>6 or more</t>
        </is>
      </c>
      <c r="B31" s="32" t="n">
        <v>16564</v>
      </c>
      <c r="C31" s="33">
        <f>IF(B31="","",B31/19292)</f>
        <v/>
      </c>
      <c r="D31" s="32" t="n"/>
      <c r="E31" s="33">
        <f>IF(D31="","",D31/3985)</f>
        <v/>
      </c>
    </row>
    <row r="33" ht="20" customHeight="1">
      <c r="A33" s="5" t="inlineStr">
        <is>
          <t>Deceased: source</t>
        </is>
      </c>
      <c r="B33" s="6" t="n"/>
      <c r="C33" s="6" t="n"/>
      <c r="D33" s="6" t="n"/>
      <c r="E33" s="6" t="n"/>
    </row>
    <row r="34" ht="20" customHeight="1">
      <c r="A34" s="7" t="inlineStr"/>
      <c r="B34" s="7" t="inlineStr">
        <is>
          <t>Credit cards</t>
        </is>
      </c>
      <c r="C34" s="7" t="inlineStr">
        <is>
          <t>share</t>
        </is>
      </c>
      <c r="D34" s="7" t="inlineStr">
        <is>
          <t>Retail loans</t>
        </is>
      </c>
      <c r="E34" s="7" t="inlineStr">
        <is>
          <t>share</t>
        </is>
      </c>
    </row>
    <row r="35">
      <c r="A35" s="14" t="inlineStr">
        <is>
          <t>Collector note only</t>
        </is>
      </c>
      <c r="B35" s="32" t="n">
        <v>37</v>
      </c>
      <c r="C35" s="33">
        <f>IF(B35="","",B35/19292)</f>
        <v/>
      </c>
      <c r="D35" s="32" t="n"/>
      <c r="E35" s="33">
        <f>IF(D35="","",D35/3985)</f>
        <v/>
      </c>
    </row>
    <row r="36">
      <c r="A36" s="14" t="inlineStr">
        <is>
          <t>Card block only</t>
        </is>
      </c>
      <c r="B36" s="32" t="n">
        <v>17</v>
      </c>
      <c r="C36" s="33">
        <f>IF(B36="","",B36/19292)</f>
        <v/>
      </c>
      <c r="D36" s="32" t="n"/>
      <c r="E36" s="33">
        <f>IF(D36="","",D36/3985)</f>
        <v/>
      </c>
    </row>
    <row r="37">
      <c r="A37" s="14" t="inlineStr">
        <is>
          <t>Customer record only</t>
        </is>
      </c>
      <c r="B37" s="32" t="n">
        <v>3</v>
      </c>
      <c r="C37" s="33">
        <f>IF(B37="","",B37/19292)</f>
        <v/>
      </c>
      <c r="D37" s="32" t="n"/>
      <c r="E37" s="33">
        <f>IF(D37="","",D37/3985)</f>
        <v/>
      </c>
    </row>
    <row r="38">
      <c r="A38" s="14" t="inlineStr">
        <is>
          <t>More than one</t>
        </is>
      </c>
      <c r="B38" s="32" t="n">
        <v>32</v>
      </c>
      <c r="C38" s="33">
        <f>IF(B38="","",B38/19292)</f>
        <v/>
      </c>
      <c r="D38" s="32" t="n"/>
      <c r="E38" s="33">
        <f>IF(D38="","",D38/3985)</f>
        <v/>
      </c>
    </row>
    <row r="40" ht="33" customHeight="1">
      <c r="A40" s="2" t="inlineStr">
        <is>
          <t>Shares are of all accounts (19,292 cards, 3,985 loans). The travel rule mostly fires 3–7 months after the last UAE evidence.</t>
        </is>
      </c>
    </row>
  </sheetData>
  <mergeCells count="2">
    <mergeCell ref="A2:E2"/>
    <mergeCell ref="A40:E40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7" customWidth="1" min="4" max="4"/>
    <col width="10" customWidth="1" min="5" max="5"/>
    <col width="7" customWidth="1" min="6" max="6"/>
    <col width="10" customWidth="1" min="7" max="7"/>
    <col width="7" customWidth="1" min="8" max="8"/>
    <col width="10" customWidth="1" min="9" max="9"/>
    <col width="7" customWidth="1" min="10" max="10"/>
    <col width="10" customWidth="1" min="11" max="11"/>
    <col width="7" customWidth="1" min="12" max="12"/>
    <col width="10" customWidth="1" min="13" max="13"/>
    <col width="7" customWidth="1" min="14" max="14"/>
  </cols>
  <sheetData>
    <row r="1">
      <c r="A1" s="1" t="inlineStr">
        <is>
          <t>Results trend</t>
        </is>
      </c>
    </row>
    <row r="2" ht="20" customHeight="1">
      <c r="A2" s="2" t="inlineStr">
        <is>
          <t>Accounts per state by month, Jan–Aug 2026 (month ends), 61–180 DPD. Shares are of the month's accounts.</t>
        </is>
      </c>
    </row>
    <row r="4" ht="20" customHeight="1">
      <c r="A4" s="5" t="inlineStr">
        <is>
          <t>Credit cards 61–180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0" customHeight="1">
      <c r="A5" s="7" t="inlineStr">
        <is>
          <t>Month</t>
        </is>
      </c>
      <c r="B5" s="7" t="inlineStr">
        <is>
          <t>Accounts</t>
        </is>
      </c>
      <c r="C5" s="15" t="inlineStr">
        <is>
          <t>In Country</t>
        </is>
      </c>
      <c r="D5" s="8" t="n"/>
      <c r="E5" s="16" t="inlineStr">
        <is>
          <t>Skip</t>
        </is>
      </c>
      <c r="F5" s="8" t="n"/>
      <c r="G5" s="17" t="inlineStr">
        <is>
          <t>Unknown (loc.)</t>
        </is>
      </c>
      <c r="H5" s="8" t="n"/>
      <c r="I5" s="15" t="inlineStr">
        <is>
          <t>Reachable</t>
        </is>
      </c>
      <c r="J5" s="8" t="n"/>
      <c r="K5" s="16" t="inlineStr">
        <is>
          <t>Non-Reachable</t>
        </is>
      </c>
      <c r="L5" s="8" t="n"/>
      <c r="M5" s="17" t="inlineStr">
        <is>
          <t>Unknown (reach.)</t>
        </is>
      </c>
      <c r="N5" s="8" t="n"/>
    </row>
    <row r="6">
      <c r="A6" s="22" t="inlineStr">
        <is>
          <t>Jan 2026</t>
        </is>
      </c>
      <c r="B6" s="35">
        <f>C6+E6+G6</f>
        <v/>
      </c>
      <c r="C6" s="32" t="n">
        <v>4753</v>
      </c>
      <c r="D6" s="33">
        <f>C6/$B6</f>
        <v/>
      </c>
      <c r="E6" s="32" t="n">
        <v>5186</v>
      </c>
      <c r="F6" s="33">
        <f>E6/$B6</f>
        <v/>
      </c>
      <c r="G6" s="32" t="n">
        <v>4725</v>
      </c>
      <c r="H6" s="33">
        <f>G6/$B6</f>
        <v/>
      </c>
      <c r="I6" s="32" t="n">
        <v>4447</v>
      </c>
      <c r="J6" s="33">
        <f>I6/$B6</f>
        <v/>
      </c>
      <c r="K6" s="32" t="n">
        <v>8605</v>
      </c>
      <c r="L6" s="33">
        <f>K6/$B6</f>
        <v/>
      </c>
      <c r="M6" s="32" t="n">
        <v>1612</v>
      </c>
      <c r="N6" s="33">
        <f>M6/$B6</f>
        <v/>
      </c>
    </row>
    <row r="7">
      <c r="A7" s="22" t="inlineStr">
        <is>
          <t>Feb 2026</t>
        </is>
      </c>
      <c r="B7" s="35">
        <f>C7+E7+G7</f>
        <v/>
      </c>
      <c r="C7" s="32" t="n">
        <v>4531</v>
      </c>
      <c r="D7" s="33">
        <f>C7/$B7</f>
        <v/>
      </c>
      <c r="E7" s="32" t="n">
        <v>5187</v>
      </c>
      <c r="F7" s="33">
        <f>E7/$B7</f>
        <v/>
      </c>
      <c r="G7" s="32" t="n">
        <v>4858</v>
      </c>
      <c r="H7" s="33">
        <f>G7/$B7</f>
        <v/>
      </c>
      <c r="I7" s="32" t="n">
        <v>4440</v>
      </c>
      <c r="J7" s="33">
        <f>I7/$B7</f>
        <v/>
      </c>
      <c r="K7" s="32" t="n">
        <v>8494</v>
      </c>
      <c r="L7" s="33">
        <f>K7/$B7</f>
        <v/>
      </c>
      <c r="M7" s="32" t="n">
        <v>1642</v>
      </c>
      <c r="N7" s="33">
        <f>M7/$B7</f>
        <v/>
      </c>
    </row>
    <row r="8">
      <c r="A8" s="22" t="inlineStr">
        <is>
          <t>Mar 2026</t>
        </is>
      </c>
      <c r="B8" s="35">
        <f>C8+E8+G8</f>
        <v/>
      </c>
      <c r="C8" s="32" t="n">
        <v>4339</v>
      </c>
      <c r="D8" s="33">
        <f>C8/$B8</f>
        <v/>
      </c>
      <c r="E8" s="32" t="n">
        <v>5246</v>
      </c>
      <c r="F8" s="33">
        <f>E8/$B8</f>
        <v/>
      </c>
      <c r="G8" s="32" t="n">
        <v>4870</v>
      </c>
      <c r="H8" s="33">
        <f>G8/$B8</f>
        <v/>
      </c>
      <c r="I8" s="32" t="n">
        <v>4039</v>
      </c>
      <c r="J8" s="33">
        <f>I8/$B8</f>
        <v/>
      </c>
      <c r="K8" s="32" t="n">
        <v>9000</v>
      </c>
      <c r="L8" s="33">
        <f>K8/$B8</f>
        <v/>
      </c>
      <c r="M8" s="32" t="n">
        <v>1416</v>
      </c>
      <c r="N8" s="33">
        <f>M8/$B8</f>
        <v/>
      </c>
    </row>
    <row r="9">
      <c r="A9" s="22" t="inlineStr">
        <is>
          <t>Apr 2026</t>
        </is>
      </c>
      <c r="B9" s="35">
        <f>C9+E9+G9</f>
        <v/>
      </c>
      <c r="C9" s="32" t="n">
        <v>4316</v>
      </c>
      <c r="D9" s="33">
        <f>C9/$B9</f>
        <v/>
      </c>
      <c r="E9" s="32" t="n">
        <v>5396</v>
      </c>
      <c r="F9" s="33">
        <f>E9/$B9</f>
        <v/>
      </c>
      <c r="G9" s="32" t="n">
        <v>4959</v>
      </c>
      <c r="H9" s="33">
        <f>G9/$B9</f>
        <v/>
      </c>
      <c r="I9" s="32" t="n">
        <v>3873</v>
      </c>
      <c r="J9" s="33">
        <f>I9/$B9</f>
        <v/>
      </c>
      <c r="K9" s="32" t="n">
        <v>9386</v>
      </c>
      <c r="L9" s="33">
        <f>K9/$B9</f>
        <v/>
      </c>
      <c r="M9" s="32" t="n">
        <v>1412</v>
      </c>
      <c r="N9" s="33">
        <f>M9/$B9</f>
        <v/>
      </c>
    </row>
    <row r="10">
      <c r="A10" s="22" t="inlineStr">
        <is>
          <t>May 2026</t>
        </is>
      </c>
      <c r="B10" s="35">
        <f>C10+E10+G10</f>
        <v/>
      </c>
      <c r="C10" s="32" t="n">
        <v>4830</v>
      </c>
      <c r="D10" s="33">
        <f>C10/$B10</f>
        <v/>
      </c>
      <c r="E10" s="32" t="n">
        <v>5861</v>
      </c>
      <c r="F10" s="33">
        <f>E10/$B10</f>
        <v/>
      </c>
      <c r="G10" s="32" t="n">
        <v>5199</v>
      </c>
      <c r="H10" s="33">
        <f>G10/$B10</f>
        <v/>
      </c>
      <c r="I10" s="32" t="n">
        <v>4207</v>
      </c>
      <c r="J10" s="33">
        <f>I10/$B10</f>
        <v/>
      </c>
      <c r="K10" s="32" t="n">
        <v>10142</v>
      </c>
      <c r="L10" s="33">
        <f>K10/$B10</f>
        <v/>
      </c>
      <c r="M10" s="32" t="n">
        <v>1541</v>
      </c>
      <c r="N10" s="33">
        <f>M10/$B10</f>
        <v/>
      </c>
    </row>
    <row r="11">
      <c r="A11" s="22" t="inlineStr">
        <is>
          <t>Jun 2026</t>
        </is>
      </c>
      <c r="B11" s="35">
        <f>C11+E11+G11</f>
        <v/>
      </c>
      <c r="C11" s="32" t="n">
        <v>4967</v>
      </c>
      <c r="D11" s="33">
        <f>C11/$B11</f>
        <v/>
      </c>
      <c r="E11" s="32" t="n">
        <v>6520</v>
      </c>
      <c r="F11" s="33">
        <f>E11/$B11</f>
        <v/>
      </c>
      <c r="G11" s="32" t="n">
        <v>5495</v>
      </c>
      <c r="H11" s="33">
        <f>G11/$B11</f>
        <v/>
      </c>
      <c r="I11" s="32" t="n">
        <v>4260</v>
      </c>
      <c r="J11" s="33">
        <f>I11/$B11</f>
        <v/>
      </c>
      <c r="K11" s="32" t="n">
        <v>10745</v>
      </c>
      <c r="L11" s="33">
        <f>K11/$B11</f>
        <v/>
      </c>
      <c r="M11" s="32" t="n">
        <v>1977</v>
      </c>
      <c r="N11" s="33">
        <f>M11/$B11</f>
        <v/>
      </c>
    </row>
    <row r="12">
      <c r="A12" s="22" t="inlineStr">
        <is>
          <t>Jul 2026</t>
        </is>
      </c>
      <c r="B12" s="35">
        <f>C12+E12+G12</f>
        <v/>
      </c>
      <c r="C12" s="32" t="n">
        <v>4824</v>
      </c>
      <c r="D12" s="33">
        <f>C12/$B12</f>
        <v/>
      </c>
      <c r="E12" s="32" t="n">
        <v>7652</v>
      </c>
      <c r="F12" s="33">
        <f>E12/$B12</f>
        <v/>
      </c>
      <c r="G12" s="32" t="n">
        <v>5921</v>
      </c>
      <c r="H12" s="33">
        <f>G12/$B12</f>
        <v/>
      </c>
      <c r="I12" s="32" t="n">
        <v>4046</v>
      </c>
      <c r="J12" s="33">
        <f>I12/$B12</f>
        <v/>
      </c>
      <c r="K12" s="32" t="n">
        <v>12151</v>
      </c>
      <c r="L12" s="33">
        <f>K12/$B12</f>
        <v/>
      </c>
      <c r="M12" s="32" t="n">
        <v>2200</v>
      </c>
      <c r="N12" s="33">
        <f>M12/$B12</f>
        <v/>
      </c>
    </row>
    <row r="13">
      <c r="A13" s="22" t="inlineStr">
        <is>
          <t>Aug 2026</t>
        </is>
      </c>
      <c r="B13" s="35">
        <f>C13+E13+G13</f>
        <v/>
      </c>
      <c r="C13" s="32" t="n">
        <v>4638</v>
      </c>
      <c r="D13" s="33">
        <f>C13/$B13</f>
        <v/>
      </c>
      <c r="E13" s="32" t="n">
        <v>8489</v>
      </c>
      <c r="F13" s="33">
        <f>E13/$B13</f>
        <v/>
      </c>
      <c r="G13" s="32" t="n">
        <v>6165</v>
      </c>
      <c r="H13" s="33">
        <f>G13/$B13</f>
        <v/>
      </c>
      <c r="I13" s="32" t="n">
        <v>4043</v>
      </c>
      <c r="J13" s="33">
        <f>I13/$B13</f>
        <v/>
      </c>
      <c r="K13" s="32" t="n">
        <v>13038</v>
      </c>
      <c r="L13" s="33">
        <f>K13/$B13</f>
        <v/>
      </c>
      <c r="M13" s="32" t="n">
        <v>2211</v>
      </c>
      <c r="N13" s="33">
        <f>M13/$B13</f>
        <v/>
      </c>
    </row>
    <row r="15" ht="20" customHeight="1">
      <c r="A15" s="5" t="inlineStr">
        <is>
          <t>Retail loans 61–180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 ht="30" customHeight="1">
      <c r="A16" s="7" t="inlineStr">
        <is>
          <t>Month</t>
        </is>
      </c>
      <c r="B16" s="7" t="inlineStr">
        <is>
          <t>Accounts</t>
        </is>
      </c>
      <c r="C16" s="15" t="inlineStr">
        <is>
          <t>In Country</t>
        </is>
      </c>
      <c r="D16" s="8" t="n"/>
      <c r="E16" s="16" t="inlineStr">
        <is>
          <t>Skip</t>
        </is>
      </c>
      <c r="F16" s="8" t="n"/>
      <c r="G16" s="17" t="inlineStr">
        <is>
          <t>Unknown (loc.)</t>
        </is>
      </c>
      <c r="H16" s="8" t="n"/>
      <c r="I16" s="15" t="inlineStr">
        <is>
          <t>Reachable</t>
        </is>
      </c>
      <c r="J16" s="8" t="n"/>
      <c r="K16" s="16" t="inlineStr">
        <is>
          <t>Non-Reachable</t>
        </is>
      </c>
      <c r="L16" s="8" t="n"/>
      <c r="M16" s="17" t="inlineStr">
        <is>
          <t>Unknown (reach.)</t>
        </is>
      </c>
      <c r="N16" s="8" t="n"/>
    </row>
    <row r="17">
      <c r="A17" s="22" t="inlineStr">
        <is>
          <t>Jan 2026</t>
        </is>
      </c>
      <c r="B17" s="35">
        <f>C17+E17+G17</f>
        <v/>
      </c>
      <c r="C17" s="32" t="n">
        <v>805</v>
      </c>
      <c r="D17" s="33">
        <f>C17/$B17</f>
        <v/>
      </c>
      <c r="E17" s="32" t="n">
        <v>898</v>
      </c>
      <c r="F17" s="33">
        <f>E17/$B17</f>
        <v/>
      </c>
      <c r="G17" s="32" t="n">
        <v>621</v>
      </c>
      <c r="H17" s="33">
        <f>G17/$B17</f>
        <v/>
      </c>
      <c r="I17" s="32" t="n">
        <v>791</v>
      </c>
      <c r="J17" s="33">
        <f>I17/$B17</f>
        <v/>
      </c>
      <c r="K17" s="32" t="n">
        <v>1099</v>
      </c>
      <c r="L17" s="33">
        <f>K17/$B17</f>
        <v/>
      </c>
      <c r="M17" s="32" t="n">
        <v>434</v>
      </c>
      <c r="N17" s="33">
        <f>M17/$B17</f>
        <v/>
      </c>
    </row>
    <row r="18">
      <c r="A18" s="22" t="inlineStr">
        <is>
          <t>Feb 2026</t>
        </is>
      </c>
      <c r="B18" s="35">
        <f>C18+E18+G18</f>
        <v/>
      </c>
      <c r="C18" s="32" t="n">
        <v>717</v>
      </c>
      <c r="D18" s="33">
        <f>C18/$B18</f>
        <v/>
      </c>
      <c r="E18" s="32" t="n">
        <v>882</v>
      </c>
      <c r="F18" s="33">
        <f>E18/$B18</f>
        <v/>
      </c>
      <c r="G18" s="32" t="n">
        <v>614</v>
      </c>
      <c r="H18" s="33">
        <f>G18/$B18</f>
        <v/>
      </c>
      <c r="I18" s="32" t="n">
        <v>755</v>
      </c>
      <c r="J18" s="33">
        <f>I18/$B18</f>
        <v/>
      </c>
      <c r="K18" s="32" t="n">
        <v>1043</v>
      </c>
      <c r="L18" s="33">
        <f>K18/$B18</f>
        <v/>
      </c>
      <c r="M18" s="32" t="n">
        <v>415</v>
      </c>
      <c r="N18" s="33">
        <f>M18/$B18</f>
        <v/>
      </c>
    </row>
    <row r="19">
      <c r="A19" s="22" t="inlineStr">
        <is>
          <t>Mar 2026</t>
        </is>
      </c>
      <c r="B19" s="35">
        <f>C19+E19+G19</f>
        <v/>
      </c>
      <c r="C19" s="32" t="n">
        <v>709</v>
      </c>
      <c r="D19" s="33">
        <f>C19/$B19</f>
        <v/>
      </c>
      <c r="E19" s="32" t="n">
        <v>888</v>
      </c>
      <c r="F19" s="33">
        <f>E19/$B19</f>
        <v/>
      </c>
      <c r="G19" s="32" t="n">
        <v>621</v>
      </c>
      <c r="H19" s="33">
        <f>G19/$B19</f>
        <v/>
      </c>
      <c r="I19" s="32" t="n">
        <v>729</v>
      </c>
      <c r="J19" s="33">
        <f>I19/$B19</f>
        <v/>
      </c>
      <c r="K19" s="32" t="n">
        <v>1161</v>
      </c>
      <c r="L19" s="33">
        <f>K19/$B19</f>
        <v/>
      </c>
      <c r="M19" s="32" t="n">
        <v>328</v>
      </c>
      <c r="N19" s="33">
        <f>M19/$B19</f>
        <v/>
      </c>
    </row>
    <row r="20">
      <c r="A20" s="22" t="inlineStr">
        <is>
          <t>Apr 2026</t>
        </is>
      </c>
      <c r="B20" s="35">
        <f>C20+E20+G20</f>
        <v/>
      </c>
      <c r="C20" s="32" t="n">
        <v>889</v>
      </c>
      <c r="D20" s="33">
        <f>C20/$B20</f>
        <v/>
      </c>
      <c r="E20" s="32" t="n">
        <v>1034</v>
      </c>
      <c r="F20" s="33">
        <f>E20/$B20</f>
        <v/>
      </c>
      <c r="G20" s="32" t="n">
        <v>738</v>
      </c>
      <c r="H20" s="33">
        <f>G20/$B20</f>
        <v/>
      </c>
      <c r="I20" s="32" t="n">
        <v>793</v>
      </c>
      <c r="J20" s="33">
        <f>I20/$B20</f>
        <v/>
      </c>
      <c r="K20" s="32" t="n">
        <v>1477</v>
      </c>
      <c r="L20" s="33">
        <f>K20/$B20</f>
        <v/>
      </c>
      <c r="M20" s="32" t="n">
        <v>391</v>
      </c>
      <c r="N20" s="33">
        <f>M20/$B20</f>
        <v/>
      </c>
    </row>
    <row r="21">
      <c r="A21" s="22" t="inlineStr">
        <is>
          <t>May 2026</t>
        </is>
      </c>
      <c r="B21" s="35">
        <f>C21+E21+G21</f>
        <v/>
      </c>
      <c r="C21" s="32" t="n">
        <v>962</v>
      </c>
      <c r="D21" s="33">
        <f>C21/$B21</f>
        <v/>
      </c>
      <c r="E21" s="32" t="n">
        <v>1159</v>
      </c>
      <c r="F21" s="33">
        <f>E21/$B21</f>
        <v/>
      </c>
      <c r="G21" s="32" t="n">
        <v>975</v>
      </c>
      <c r="H21" s="33">
        <f>G21/$B21</f>
        <v/>
      </c>
      <c r="I21" s="32" t="n">
        <v>945</v>
      </c>
      <c r="J21" s="33">
        <f>I21/$B21</f>
        <v/>
      </c>
      <c r="K21" s="32" t="n">
        <v>1697</v>
      </c>
      <c r="L21" s="33">
        <f>K21/$B21</f>
        <v/>
      </c>
      <c r="M21" s="32" t="n">
        <v>454</v>
      </c>
      <c r="N21" s="33">
        <f>M21/$B21</f>
        <v/>
      </c>
    </row>
    <row r="22">
      <c r="A22" s="22" t="inlineStr">
        <is>
          <t>Jun 2026</t>
        </is>
      </c>
      <c r="B22" s="35">
        <f>C22+E22+G22</f>
        <v/>
      </c>
      <c r="C22" s="32" t="n">
        <v>1059</v>
      </c>
      <c r="D22" s="33">
        <f>C22/$B22</f>
        <v/>
      </c>
      <c r="E22" s="32" t="n">
        <v>1344</v>
      </c>
      <c r="F22" s="33">
        <f>E22/$B22</f>
        <v/>
      </c>
      <c r="G22" s="32" t="n">
        <v>1111</v>
      </c>
      <c r="H22" s="33">
        <f>G22/$B22</f>
        <v/>
      </c>
      <c r="I22" s="32" t="n">
        <v>1000</v>
      </c>
      <c r="J22" s="33">
        <f>I22/$B22</f>
        <v/>
      </c>
      <c r="K22" s="32" t="n">
        <v>1939</v>
      </c>
      <c r="L22" s="33">
        <f>K22/$B22</f>
        <v/>
      </c>
      <c r="M22" s="32" t="n">
        <v>575</v>
      </c>
      <c r="N22" s="33">
        <f>M22/$B22</f>
        <v/>
      </c>
    </row>
    <row r="23">
      <c r="A23" s="22" t="inlineStr">
        <is>
          <t>Jul 2026</t>
        </is>
      </c>
      <c r="B23" s="35">
        <f>C23+E23+G23</f>
        <v/>
      </c>
      <c r="C23" s="32" t="n">
        <v>1014</v>
      </c>
      <c r="D23" s="33">
        <f>C23/$B23</f>
        <v/>
      </c>
      <c r="E23" s="32" t="n">
        <v>1577</v>
      </c>
      <c r="F23" s="33">
        <f>E23/$B23</f>
        <v/>
      </c>
      <c r="G23" s="32" t="n">
        <v>1137</v>
      </c>
      <c r="H23" s="33">
        <f>G23/$B23</f>
        <v/>
      </c>
      <c r="I23" s="32" t="n">
        <v>1064</v>
      </c>
      <c r="J23" s="33">
        <f>I23/$B23</f>
        <v/>
      </c>
      <c r="K23" s="32" t="n">
        <v>2031</v>
      </c>
      <c r="L23" s="33">
        <f>K23/$B23</f>
        <v/>
      </c>
      <c r="M23" s="32" t="n">
        <v>633</v>
      </c>
      <c r="N23" s="33">
        <f>M23/$B23</f>
        <v/>
      </c>
    </row>
    <row r="24">
      <c r="A24" s="22" t="inlineStr">
        <is>
          <t>Aug 2026</t>
        </is>
      </c>
      <c r="B24" s="35">
        <f>C24+E24+G24</f>
        <v/>
      </c>
      <c r="C24" s="32" t="n">
        <v>1080</v>
      </c>
      <c r="D24" s="33">
        <f>C24/$B24</f>
        <v/>
      </c>
      <c r="E24" s="32" t="n">
        <v>1728</v>
      </c>
      <c r="F24" s="33">
        <f>E24/$B24</f>
        <v/>
      </c>
      <c r="G24" s="32" t="n">
        <v>1177</v>
      </c>
      <c r="H24" s="33">
        <f>G24/$B24</f>
        <v/>
      </c>
      <c r="I24" s="32" t="n">
        <v>1043</v>
      </c>
      <c r="J24" s="33">
        <f>I24/$B24</f>
        <v/>
      </c>
      <c r="K24" s="32" t="n">
        <v>2292</v>
      </c>
      <c r="L24" s="33">
        <f>K24/$B24</f>
        <v/>
      </c>
      <c r="M24" s="32" t="n">
        <v>650</v>
      </c>
      <c r="N24" s="33">
        <f>M24/$B24</f>
        <v/>
      </c>
    </row>
    <row r="26" ht="33" customHeight="1">
      <c r="A26" s="2" t="inlineStr">
        <is>
          <t>Skip is flat to May and rises from June, as debit-card rows thin out; Reachable counts stay flat, so a growing book adds Non-Reachable.</t>
        </is>
      </c>
    </row>
  </sheetData>
  <mergeCells count="14">
    <mergeCell ref="K16:L16"/>
    <mergeCell ref="E16:F16"/>
    <mergeCell ref="C16:D16"/>
    <mergeCell ref="I16:J16"/>
    <mergeCell ref="G16:H16"/>
    <mergeCell ref="A26:N26"/>
    <mergeCell ref="A2:N2"/>
    <mergeCell ref="C5:D5"/>
    <mergeCell ref="G5:H5"/>
    <mergeCell ref="E5:F5"/>
    <mergeCell ref="K5:L5"/>
    <mergeCell ref="I5:J5"/>
    <mergeCell ref="M5:N5"/>
    <mergeCell ref="M16:N16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7" customWidth="1" min="4" max="4"/>
    <col width="12" customWidth="1" min="5" max="5"/>
    <col width="7" customWidth="1" min="6" max="6"/>
    <col width="12" customWidth="1" min="7" max="7"/>
    <col width="7" customWidth="1" min="8" max="8"/>
    <col width="12" customWidth="1" min="9" max="9"/>
    <col width="7" customWidth="1" min="10" max="10"/>
  </cols>
  <sheetData>
    <row r="1">
      <c r="A1" s="1" t="inlineStr">
        <is>
          <t>Results 180+ by vintage</t>
        </is>
      </c>
    </row>
    <row r="2" ht="33" customHeight="1">
      <c r="A2" s="2" t="inlineStr">
        <is>
          <t>Early-stage charge-off = charged off less than 2 years ago; late-stage = 2 years or more. Shares are within each vintage.</t>
        </is>
      </c>
    </row>
    <row r="5" ht="20" customHeight="1">
      <c r="A5" s="5" t="inlineStr">
        <is>
          <t>Combined state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58" customHeight="1">
      <c r="A6" s="7" t="inlineStr">
        <is>
          <t>Location</t>
        </is>
      </c>
      <c r="B6" s="7" t="inlineStr">
        <is>
          <t>Reachability</t>
        </is>
      </c>
      <c r="C6" s="7" t="inlineStr">
        <is>
          <t>CC 180+
early-stage
charge-off</t>
        </is>
      </c>
      <c r="D6" s="7" t="inlineStr">
        <is>
          <t>share</t>
        </is>
      </c>
      <c r="E6" s="7" t="inlineStr">
        <is>
          <t>CC 180+
late-stage
charge-off</t>
        </is>
      </c>
      <c r="F6" s="7" t="inlineStr">
        <is>
          <t>share</t>
        </is>
      </c>
      <c r="G6" s="7" t="inlineStr">
        <is>
          <t>RL 180+
early-stage
charge-off</t>
        </is>
      </c>
      <c r="H6" s="7" t="inlineStr">
        <is>
          <t>share</t>
        </is>
      </c>
      <c r="I6" s="7" t="inlineStr">
        <is>
          <t>RL 180+
late-stage
charge-off</t>
        </is>
      </c>
      <c r="J6" s="7" t="inlineStr">
        <is>
          <t>share</t>
        </is>
      </c>
    </row>
    <row r="7">
      <c r="A7" s="14" t="inlineStr">
        <is>
          <t>Deceased</t>
        </is>
      </c>
      <c r="B7" s="8" t="n"/>
      <c r="C7" s="32" t="n"/>
      <c r="D7" s="33">
        <f>IF(OR(C7="",N($C$17)=0),"",C7/$C$17)</f>
        <v/>
      </c>
      <c r="E7" s="32" t="n"/>
      <c r="F7" s="33">
        <f>IF(OR(E7="",N($E$17)=0),"",E7/$E$17)</f>
        <v/>
      </c>
      <c r="G7" s="32" t="n"/>
      <c r="H7" s="33">
        <f>IF(OR(G7="",N($G$17)=0),"",G7/$G$17)</f>
        <v/>
      </c>
      <c r="I7" s="32" t="n"/>
      <c r="J7" s="33">
        <f>IF(OR(I7="",N($I$17)=0),"",I7/$I$17)</f>
        <v/>
      </c>
    </row>
    <row r="8">
      <c r="A8" s="9" t="inlineStr">
        <is>
          <t>In Country</t>
        </is>
      </c>
      <c r="B8" s="9" t="inlineStr">
        <is>
          <t>Reachable</t>
        </is>
      </c>
      <c r="C8" s="32" t="n"/>
      <c r="D8" s="33">
        <f>IF(OR(C8="",N($C$17)=0),"",C8/$C$17)</f>
        <v/>
      </c>
      <c r="E8" s="32" t="n"/>
      <c r="F8" s="33">
        <f>IF(OR(E8="",N($E$17)=0),"",E8/$E$17)</f>
        <v/>
      </c>
      <c r="G8" s="32" t="n"/>
      <c r="H8" s="33">
        <f>IF(OR(G8="",N($G$17)=0),"",G8/$G$17)</f>
        <v/>
      </c>
      <c r="I8" s="32" t="n"/>
      <c r="J8" s="33">
        <f>IF(OR(I8="",N($I$17)=0),"",I8/$I$17)</f>
        <v/>
      </c>
    </row>
    <row r="9">
      <c r="A9" s="9" t="inlineStr">
        <is>
          <t>In Country</t>
        </is>
      </c>
      <c r="B9" s="12" t="inlineStr">
        <is>
          <t>Non-Reachable</t>
        </is>
      </c>
      <c r="C9" s="32" t="n"/>
      <c r="D9" s="33">
        <f>IF(OR(C9="",N($C$17)=0),"",C9/$C$17)</f>
        <v/>
      </c>
      <c r="E9" s="32" t="n"/>
      <c r="F9" s="33">
        <f>IF(OR(E9="",N($E$17)=0),"",E9/$E$17)</f>
        <v/>
      </c>
      <c r="G9" s="32" t="n"/>
      <c r="H9" s="33">
        <f>IF(OR(G9="",N($G$17)=0),"",G9/$G$17)</f>
        <v/>
      </c>
      <c r="I9" s="32" t="n"/>
      <c r="J9" s="33">
        <f>IF(OR(I9="",N($I$17)=0),"",I9/$I$17)</f>
        <v/>
      </c>
    </row>
    <row r="10">
      <c r="A10" s="9" t="inlineStr">
        <is>
          <t>In Country</t>
        </is>
      </c>
      <c r="B10" s="13" t="inlineStr">
        <is>
          <t>Unknown</t>
        </is>
      </c>
      <c r="C10" s="32" t="n"/>
      <c r="D10" s="33">
        <f>IF(OR(C10="",N($C$17)=0),"",C10/$C$17)</f>
        <v/>
      </c>
      <c r="E10" s="32" t="n"/>
      <c r="F10" s="33">
        <f>IF(OR(E10="",N($E$17)=0),"",E10/$E$17)</f>
        <v/>
      </c>
      <c r="G10" s="32" t="n"/>
      <c r="H10" s="33">
        <f>IF(OR(G10="",N($G$17)=0),"",G10/$G$17)</f>
        <v/>
      </c>
      <c r="I10" s="32" t="n"/>
      <c r="J10" s="33">
        <f>IF(OR(I10="",N($I$17)=0),"",I10/$I$17)</f>
        <v/>
      </c>
    </row>
    <row r="11">
      <c r="A11" s="12" t="inlineStr">
        <is>
          <t>Skip</t>
        </is>
      </c>
      <c r="B11" s="9" t="inlineStr">
        <is>
          <t>Reachable</t>
        </is>
      </c>
      <c r="C11" s="32" t="n"/>
      <c r="D11" s="33">
        <f>IF(OR(C11="",N($C$17)=0),"",C11/$C$17)</f>
        <v/>
      </c>
      <c r="E11" s="32" t="n"/>
      <c r="F11" s="33">
        <f>IF(OR(E11="",N($E$17)=0),"",E11/$E$17)</f>
        <v/>
      </c>
      <c r="G11" s="32" t="n"/>
      <c r="H11" s="33">
        <f>IF(OR(G11="",N($G$17)=0),"",G11/$G$17)</f>
        <v/>
      </c>
      <c r="I11" s="32" t="n"/>
      <c r="J11" s="33">
        <f>IF(OR(I11="",N($I$17)=0),"",I11/$I$17)</f>
        <v/>
      </c>
    </row>
    <row r="12">
      <c r="A12" s="12" t="inlineStr">
        <is>
          <t>Skip</t>
        </is>
      </c>
      <c r="B12" s="12" t="inlineStr">
        <is>
          <t>Non-Reachable</t>
        </is>
      </c>
      <c r="C12" s="32" t="n"/>
      <c r="D12" s="33">
        <f>IF(OR(C12="",N($C$17)=0),"",C12/$C$17)</f>
        <v/>
      </c>
      <c r="E12" s="32" t="n"/>
      <c r="F12" s="33">
        <f>IF(OR(E12="",N($E$17)=0),"",E12/$E$17)</f>
        <v/>
      </c>
      <c r="G12" s="32" t="n"/>
      <c r="H12" s="33">
        <f>IF(OR(G12="",N($G$17)=0),"",G12/$G$17)</f>
        <v/>
      </c>
      <c r="I12" s="32" t="n"/>
      <c r="J12" s="33">
        <f>IF(OR(I12="",N($I$17)=0),"",I12/$I$17)</f>
        <v/>
      </c>
    </row>
    <row r="13">
      <c r="A13" s="12" t="inlineStr">
        <is>
          <t>Skip</t>
        </is>
      </c>
      <c r="B13" s="13" t="inlineStr">
        <is>
          <t>Unknown</t>
        </is>
      </c>
      <c r="C13" s="32" t="n"/>
      <c r="D13" s="33">
        <f>IF(OR(C13="",N($C$17)=0),"",C13/$C$17)</f>
        <v/>
      </c>
      <c r="E13" s="32" t="n"/>
      <c r="F13" s="33">
        <f>IF(OR(E13="",N($E$17)=0),"",E13/$E$17)</f>
        <v/>
      </c>
      <c r="G13" s="32" t="n"/>
      <c r="H13" s="33">
        <f>IF(OR(G13="",N($G$17)=0),"",G13/$G$17)</f>
        <v/>
      </c>
      <c r="I13" s="32" t="n"/>
      <c r="J13" s="33">
        <f>IF(OR(I13="",N($I$17)=0),"",I13/$I$17)</f>
        <v/>
      </c>
    </row>
    <row r="14">
      <c r="A14" s="13" t="inlineStr">
        <is>
          <t>Unknown</t>
        </is>
      </c>
      <c r="B14" s="9" t="inlineStr">
        <is>
          <t>Reachable</t>
        </is>
      </c>
      <c r="C14" s="32" t="n"/>
      <c r="D14" s="33">
        <f>IF(OR(C14="",N($C$17)=0),"",C14/$C$17)</f>
        <v/>
      </c>
      <c r="E14" s="32" t="n"/>
      <c r="F14" s="33">
        <f>IF(OR(E14="",N($E$17)=0),"",E14/$E$17)</f>
        <v/>
      </c>
      <c r="G14" s="32" t="n"/>
      <c r="H14" s="33">
        <f>IF(OR(G14="",N($G$17)=0),"",G14/$G$17)</f>
        <v/>
      </c>
      <c r="I14" s="32" t="n"/>
      <c r="J14" s="33">
        <f>IF(OR(I14="",N($I$17)=0),"",I14/$I$17)</f>
        <v/>
      </c>
    </row>
    <row r="15">
      <c r="A15" s="13" t="inlineStr">
        <is>
          <t>Unknown</t>
        </is>
      </c>
      <c r="B15" s="12" t="inlineStr">
        <is>
          <t>Non-Reachable</t>
        </is>
      </c>
      <c r="C15" s="32" t="n"/>
      <c r="D15" s="33">
        <f>IF(OR(C15="",N($C$17)=0),"",C15/$C$17)</f>
        <v/>
      </c>
      <c r="E15" s="32" t="n"/>
      <c r="F15" s="33">
        <f>IF(OR(E15="",N($E$17)=0),"",E15/$E$17)</f>
        <v/>
      </c>
      <c r="G15" s="32" t="n"/>
      <c r="H15" s="33">
        <f>IF(OR(G15="",N($G$17)=0),"",G15/$G$17)</f>
        <v/>
      </c>
      <c r="I15" s="32" t="n"/>
      <c r="J15" s="33">
        <f>IF(OR(I15="",N($I$17)=0),"",I15/$I$17)</f>
        <v/>
      </c>
    </row>
    <row r="16">
      <c r="A16" s="13" t="inlineStr">
        <is>
          <t>Unknown</t>
        </is>
      </c>
      <c r="B16" s="13" t="inlineStr">
        <is>
          <t>Unknown</t>
        </is>
      </c>
      <c r="C16" s="32" t="n"/>
      <c r="D16" s="33">
        <f>IF(OR(C16="",N($C$17)=0),"",C16/$C$17)</f>
        <v/>
      </c>
      <c r="E16" s="32" t="n"/>
      <c r="F16" s="33">
        <f>IF(OR(E16="",N($E$17)=0),"",E16/$E$17)</f>
        <v/>
      </c>
      <c r="G16" s="32" t="n"/>
      <c r="H16" s="33">
        <f>IF(OR(G16="",N($G$17)=0),"",G16/$G$17)</f>
        <v/>
      </c>
      <c r="I16" s="32" t="n"/>
      <c r="J16" s="33">
        <f>IF(OR(I16="",N($I$17)=0),"",I16/$I$17)</f>
        <v/>
      </c>
    </row>
    <row r="17">
      <c r="A17" s="22" t="inlineStr">
        <is>
          <t>Total</t>
        </is>
      </c>
      <c r="B17" s="8" t="n"/>
      <c r="C17" s="35">
        <f>IF(COUNT(C7:C16)=0,"",SUM(C7:C16))</f>
        <v/>
      </c>
      <c r="D17" s="23" t="n"/>
      <c r="E17" s="35">
        <f>IF(COUNT(E7:E16)=0,"",SUM(E7:E16))</f>
        <v/>
      </c>
      <c r="F17" s="23" t="n"/>
      <c r="G17" s="35">
        <f>IF(COUNT(G7:G16)=0,"",SUM(G7:G16))</f>
        <v/>
      </c>
      <c r="H17" s="23" t="n"/>
      <c r="I17" s="35">
        <f>IF(COUNT(I7:I16)=0,"",SUM(I7:I16))</f>
        <v/>
      </c>
      <c r="J17" s="23" t="n"/>
    </row>
  </sheetData>
  <mergeCells count="3">
    <mergeCell ref="A7:B7"/>
    <mergeCell ref="A17:B17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2026-10-29T07:57:10Z</dcterms:created>
  <dcterms:modified xsi:type="dcterms:W3CDTF">2026-10-29T07:57:10Z</dcterms:modified>
</cp:coreProperties>
</file>