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How states are assigned" sheetId="2" state="visible" r:id="rId4"/>
    <sheet name="Worked examples" sheetId="3" state="visible" r:id="rId5"/>
    <sheet name="Thresholds" sheetId="4" state="visible" r:id="rId6"/>
    <sheet name="Buckets &amp; segments" sheetId="5" state="visible" r:id="rId7"/>
    <sheet name="Data handling" sheetId="6" state="visible" r:id="rId8"/>
    <sheet name="Resul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<sst xmlns="http://schemas.openxmlformats.org/spreadsheetml/2006/main" count="376" uniqueCount="275">
  <si>
    <t xml:space="preserve">DPD deterioration states</t>
  </si>
  <si>
    <t xml:space="preserve">One of the persona axes: how a delinquent account got where it is, read from its monthly DPD history. Every account in scope gets exactly one state.</t>
  </si>
  <si>
    <t xml:space="preserve">Scope</t>
  </si>
  <si>
    <t xml:space="preserve">Credit cards (CC) and retail loans (RL) at 61–180 DPD and at 180+ DPD on the scoring date (to be filled).</t>
  </si>
  <si>
    <t xml:space="preserve">Input</t>
  </si>
  <si>
    <t xml:space="preserve">One DPD bucket per account per month. CC from Jan 2024 (older history has known data-quality issues); RL from Jan 2019.</t>
  </si>
  <si>
    <t xml:space="preserve">How</t>
  </si>
  <si>
    <t xml:space="preserve">Six yes/no questions in a fixed order; the first 'yes' decides. See 'How states are assigned'.</t>
  </si>
  <si>
    <t xml:space="preserve">Over time</t>
  </si>
  <si>
    <t xml:space="preserve">EPD and Stabilized can change month to month. The others are fixed once set, except that an account can move into Stabilized.</t>
  </si>
  <si>
    <t xml:space="preserve">The states</t>
  </si>
  <si>
    <t xml:space="preserve">State</t>
  </si>
  <si>
    <t xml:space="preserve">In one sentence</t>
  </si>
  <si>
    <t xml:space="preserve">Typical action</t>
  </si>
  <si>
    <t xml:space="preserve">Changes over time?</t>
  </si>
  <si>
    <t xml:space="preserve">Decided at step</t>
  </si>
  <si>
    <t xml:space="preserve">Unknown</t>
  </si>
  <si>
    <t xml:space="preserve">We cannot see how the account fell into delinquency: the start of this delinquency is not in the history we hold.</t>
  </si>
  <si>
    <t xml:space="preserve">Treat on current behaviour and the other persona axes.</t>
  </si>
  <si>
    <t xml:space="preserve">Fixed</t>
  </si>
  <si>
    <t xml:space="preserve">0</t>
  </si>
  <si>
    <t xml:space="preserve">Early payment default (EPD)</t>
  </si>
  <si>
    <t xml:space="preserve">Fell behind within 3 months of the start of its history and has not paid since.</t>
  </si>
  <si>
    <t xml:space="preserve">Early-risk / first-party fraud review; early legal; no restructuring.</t>
  </si>
  <si>
    <t xml:space="preserve">Current: ends when the customer pays</t>
  </si>
  <si>
    <t xml:space="preserve">1</t>
  </si>
  <si>
    <t xml:space="preserve">Stabilized</t>
  </si>
  <si>
    <t xml:space="preserve">Paying about one month's due each month: the bucket has stopped climbing. 61–180 DPD only.</t>
  </si>
  <si>
    <t xml:space="preserve">Offer restructuring.</t>
  </si>
  <si>
    <t xml:space="preserve">Current: re-read monthly</t>
  </si>
  <si>
    <t xml:space="preserve">2</t>
  </si>
  <si>
    <t xml:space="preserve">Repeat delinquent</t>
  </si>
  <si>
    <t xml:space="preserve">Was 31+ DPD before, caught up, and fell back within 12 months.</t>
  </si>
  <si>
    <t xml:space="preserve">Firm promise-based plan; credibility sets the pressure.</t>
  </si>
  <si>
    <t xml:space="preserve">3</t>
  </si>
  <si>
    <t xml:space="preserve">Seasoned straight roller</t>
  </si>
  <si>
    <t xml:space="preserve">Rolled straight to 61+ DPD (no payment), 12+ months after its history began.</t>
  </si>
  <si>
    <t xml:space="preserve">Likely a life event: read with the other axes; best fit for a hardship route.</t>
  </si>
  <si>
    <t xml:space="preserve">4</t>
  </si>
  <si>
    <t xml:space="preserve">Early-life straight roller</t>
  </si>
  <si>
    <t xml:space="preserve">Rolled straight to 61+ DPD within its first 12 months (after the EPD window).</t>
  </si>
  <si>
    <t xml:space="preserve">As seasoned; also an underwriting signal.</t>
  </si>
  <si>
    <t xml:space="preserve">Slow roller (partial payer)</t>
  </si>
  <si>
    <t xml:space="preserve">Paid something on the way to 61+ DPD but kept rolling.</t>
  </si>
  <si>
    <t xml:space="preserve">Over-indebted: longer-tenor restructure or settlement.</t>
  </si>
  <si>
    <t xml:space="preserve">5</t>
  </si>
  <si>
    <t xml:space="preserve">Shares: see 'Results'. Thresholds: see 'Thresholds'.</t>
  </si>
  <si>
    <t xml:space="preserve">How states are assigned</t>
  </si>
  <si>
    <t xml:space="preserve">Questions are asked top to bottom; the first 'yes' decides the state.</t>
  </si>
  <si>
    <t xml:space="preserve">The flow</t>
  </si>
  <si>
    <t xml:space="preserve">Step 0</t>
  </si>
  <si>
    <t xml:space="preserve">Is the start of this delinquency missing?</t>
  </si>
  <si>
    <t xml:space="preserve">yes  ▶</t>
  </si>
  <si>
    <t xml:space="preserve">Unknown  (Stabilized if Step 2 passes)</t>
  </si>
  <si>
    <t xml:space="preserve">no  ▼</t>
  </si>
  <si>
    <t xml:space="preserve">Step 1</t>
  </si>
  <si>
    <t xml:space="preserve">Early payment default?</t>
  </si>
  <si>
    <t xml:space="preserve">Step 2</t>
  </si>
  <si>
    <t xml:space="preserve">Stabilized?</t>
  </si>
  <si>
    <t xml:space="preserve">Step 3</t>
  </si>
  <si>
    <t xml:space="preserve">Repeat delinquent?</t>
  </si>
  <si>
    <t xml:space="preserve">Step 4</t>
  </si>
  <si>
    <t xml:space="preserve">Straight roller?</t>
  </si>
  <si>
    <t xml:space="preserve">Seasoned straight roller  (12+ months)</t>
  </si>
  <si>
    <t xml:space="preserve">Early-life straight roller  (&lt; 12 months)</t>
  </si>
  <si>
    <t xml:space="preserve">Step 5</t>
  </si>
  <si>
    <t xml:space="preserve">Otherwise</t>
  </si>
  <si>
    <t xml:space="preserve">▶</t>
  </si>
  <si>
    <t xml:space="preserve">The exact tests</t>
  </si>
  <si>
    <t xml:space="preserve">Step</t>
  </si>
  <si>
    <t xml:space="preserve">Question</t>
  </si>
  <si>
    <t xml:space="preserve">State if yes</t>
  </si>
  <si>
    <t xml:space="preserve">Exact test</t>
  </si>
  <si>
    <t xml:space="preserve">Oldest month we hold is already overdue (CC 1+ DPD; RL 31+ DPD). Stabilized if Step 2 passes, else Unknown.</t>
  </si>
  <si>
    <t xml:space="preserve">Fell behind within 3 months of the start of its history, with no earlier delinquency (one short paid-off slip allowed), and has not paid since: one bucket worse every month.</t>
  </si>
  <si>
    <t xml:space="preserve">Today 61–180 DPD and no longer getting worse. Either:
• short-term: in 5 of the last 6 months the bucket was within one of today's; or
• long-term: 6+ months after reaching 61+ DPD, today's bucket is at most 1 higher than 6 months ago.</t>
  </si>
  <si>
    <t xml:space="preserve">An earlier delinquency reached 31+ DPD, was cured, and ended at most 12 months before this one began.</t>
  </si>
  <si>
    <t xml:space="preserve">0 → 1–30 → 31–60 → 61–90 DPD, one step a month (no payment). Seasoned if 12+ months of history before this delinquency (or history older than the window); otherwise Early-life.</t>
  </si>
  <si>
    <t xml:space="preserve">Everything else: paid at least once on the way to 61+ DPD.</t>
  </si>
  <si>
    <t xml:space="preserve">Terms</t>
  </si>
  <si>
    <t xml:space="preserve">DPD bucket</t>
  </si>
  <si>
    <t xml:space="preserve">Days-past-due band at month end (see 'Buckets &amp; segments').</t>
  </si>
  <si>
    <t xml:space="preserve">Delinquency</t>
  </si>
  <si>
    <t xml:space="preserve">A continuous run of months at 1+ DPD.</t>
  </si>
  <si>
    <t xml:space="preserve">Short slip</t>
  </si>
  <si>
    <t xml:space="preserve">An earlier 1–2 month delinquency, never past 1–30 DPD, paid off. Not counted as an earlier delinquency.</t>
  </si>
  <si>
    <t xml:space="preserve">Month to month</t>
  </si>
  <si>
    <t xml:space="preserve">One bucket worse = nothing paid. Same bucket = one month's due paid. Better = two or more months paid.</t>
  </si>
  <si>
    <t xml:space="preserve">Months before this delinquency</t>
  </si>
  <si>
    <t xml:space="preserve">Months in the history before the current delinquency started.</t>
  </si>
  <si>
    <t xml:space="preserve">Ceiling bucket</t>
  </si>
  <si>
    <t xml:space="preserve">CC 210+ / RL 180+ DPD. The bucket cannot rise, so staying there is not a payment.</t>
  </si>
  <si>
    <t xml:space="preserve">History window</t>
  </si>
  <si>
    <t xml:space="preserve">CC Jan 2024, RL Jan 2019. With older history an account is never EPD, and a straight roller counts as seasoned.</t>
  </si>
  <si>
    <t xml:space="preserve">Worked examples (credit cards)</t>
  </si>
  <si>
    <t xml:space="preserve">One account per row: monthly DPD bucket, oldest on the left, this month on the right.</t>
  </si>
  <si>
    <t xml:space="preserve">Bucket colours</t>
  </si>
  <si>
    <t xml:space="preserve">0/1: 0 DPD</t>
  </si>
  <si>
    <t xml:space="preserve">2: 1–30</t>
  </si>
  <si>
    <t xml:space="preserve">3: 31–60</t>
  </si>
  <si>
    <t xml:space="preserve">4: 61–90</t>
  </si>
  <si>
    <t xml:space="preserve">5: 91–120</t>
  </si>
  <si>
    <t xml:space="preserve">6: 121–150</t>
  </si>
  <si>
    <t xml:space="preserve">7: 151–180</t>
  </si>
  <si>
    <t xml:space="preserve">8: 181–210</t>
  </si>
  <si>
    <t xml:space="preserve">9: 210+</t>
  </si>
  <si>
    <t xml:space="preserve">-17</t>
  </si>
  <si>
    <t xml:space="preserve">-16</t>
  </si>
  <si>
    <t xml:space="preserve">-15</t>
  </si>
  <si>
    <t xml:space="preserve">-14</t>
  </si>
  <si>
    <t xml:space="preserve">-13</t>
  </si>
  <si>
    <t xml:space="preserve">-12</t>
  </si>
  <si>
    <t xml:space="preserve">-11</t>
  </si>
  <si>
    <t xml:space="preserve">-10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</si>
  <si>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</si>
  <si>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</si>
  <si>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</si>
  <si>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</si>
  <si>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</si>
  <si>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</si>
  <si>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</si>
  <si>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</si>
  <si>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</si>
  <si>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Now</t>
  </si>
  <si>
    <t xml:space="preserve">Why</t>
  </si>
  <si>
    <t xml:space="preserve">3 clean months, then one bucket worse every month.</t>
  </si>
  <si>
    <t xml:space="preserve">Same at 180+: months at the ceiling (9 9 9) are not payments.</t>
  </si>
  <si>
    <t xml:space="preserve">Holding at 91–120 DPD for 5 months.</t>
  </si>
  <si>
    <t xml:space="preserve">Swings between 61–90 and 151–180 DPD, no worse than 6 months ago. (8 earlier months not shown.)</t>
  </si>
  <si>
    <t xml:space="preserve">0 → 2</t>
  </si>
  <si>
    <t xml:space="preserve">Overdue since before Jan 2024, but clearly holding.</t>
  </si>
  <si>
    <t xml:space="preserve">Reached 61–90 DPD, caught up, fell back 8 months later.</t>
  </si>
  <si>
    <t xml:space="preserve">14 clean months, then missed every payment.</t>
  </si>
  <si>
    <t xml:space="preserve">6 clean months, then a straight roll.</t>
  </si>
  <si>
    <t xml:space="preserve">Paid one month at 1–30 and at 31–60 DPD, still rolled.</t>
  </si>
  <si>
    <t xml:space="preserve">Already 121–150 DPD in the oldest month we hold.</t>
  </si>
  <si>
    <t xml:space="preserve">Thresholds</t>
  </si>
  <si>
    <t xml:space="preserve">Applies to</t>
  </si>
  <si>
    <t xml:space="preserve">Threshold</t>
  </si>
  <si>
    <t xml:space="preserve">Value</t>
  </si>
  <si>
    <t xml:space="preserve">Early payment default</t>
  </si>
  <si>
    <t xml:space="preserve">Months before first falling behind</t>
  </si>
  <si>
    <t xml:space="preserve">≤ 3</t>
  </si>
  <si>
    <t xml:space="preserve">Someone who never pays misses the 1st or 2nd bill.</t>
  </si>
  <si>
    <t xml:space="preserve">Earlier short slips allowed (1–2 months, paid off)</t>
  </si>
  <si>
    <t xml:space="preserve">One quickly repaid late payment does not rule out EPD.</t>
  </si>
  <si>
    <t xml:space="preserve">Straight roller</t>
  </si>
  <si>
    <t xml:space="preserve">Delinquent months to reach 61–90 DPD (1–30, 31–60, 61–90)</t>
  </si>
  <si>
    <t xml:space="preserve">One bucket a month: nothing paid on the way.</t>
  </si>
  <si>
    <t xml:space="preserve">Last 6 months within one bucket of today's</t>
  </si>
  <si>
    <t xml:space="preserve">5 of 6</t>
  </si>
  <si>
    <t xml:space="preserve">Staying near the same bucket means about one month's due is paid each month.</t>
  </si>
  <si>
    <t xml:space="preserve">Stabilized (long-term)</t>
  </si>
  <si>
    <t xml:space="preserve">Months since reaching 61+ DPD</t>
  </si>
  <si>
    <t xml:space="preserve">6+</t>
  </si>
  <si>
    <t xml:space="preserve">Gives uneven payers time before a plateau counts.</t>
  </si>
  <si>
    <t xml:space="preserve">Rise vs 6 months ago</t>
  </si>
  <si>
    <t xml:space="preserve">≤ 1 bucket</t>
  </si>
  <si>
    <t xml:space="preserve">More than one bucket means still getting worse.</t>
  </si>
  <si>
    <t xml:space="preserve">Highest DPD</t>
  </si>
  <si>
    <t xml:space="preserve">151–180</t>
  </si>
  <si>
    <t xml:space="preserve">At 180+ a flat bucket is not evidence of payment.</t>
  </si>
  <si>
    <t xml:space="preserve">Depth of the earlier delinquency</t>
  </si>
  <si>
    <t xml:space="preserve">31+ DPD</t>
  </si>
  <si>
    <t xml:space="preserve">A cure from 31+ DPD shows real ability to catch up.</t>
  </si>
  <si>
    <t xml:space="preserve">Months since it ended</t>
  </si>
  <si>
    <t xml:space="preserve">≤ 12</t>
  </si>
  <si>
    <t xml:space="preserve">A relapse within a year points to the same underlying problem.</t>
  </si>
  <si>
    <t xml:space="preserve">Seasoned vs early-life</t>
  </si>
  <si>
    <t xml:space="preserve">12+</t>
  </si>
  <si>
    <t xml:space="preserve">First-year defaults point to acquisition; later ones to a change in circumstances.</t>
  </si>
  <si>
    <t xml:space="preserve">CC data used from</t>
  </si>
  <si>
    <t xml:space="preserve">Jan 2024</t>
  </si>
  <si>
    <t xml:space="preserve">Older CC data has known quality issues.</t>
  </si>
  <si>
    <t xml:space="preserve">RL data used from</t>
  </si>
  <si>
    <t xml:space="preserve">Jan 2019</t>
  </si>
  <si>
    <t xml:space="preserve">Start of the RL window.</t>
  </si>
  <si>
    <t xml:space="preserve">Missing months</t>
  </si>
  <si>
    <t xml:space="preserve">Filled if the gap is at most</t>
  </si>
  <si>
    <t xml:space="preserve">2 months</t>
  </si>
  <si>
    <t xml:space="preserve">Longer gaps: history starts after the gap.</t>
  </si>
  <si>
    <t xml:space="preserve">Buckets &amp; segments</t>
  </si>
  <si>
    <t xml:space="preserve">CC and RL number buckets differently; the rules read both as DPD bands.</t>
  </si>
  <si>
    <t xml:space="preserve">DPD band</t>
  </si>
  <si>
    <t xml:space="preserve">CC bucket</t>
  </si>
  <si>
    <t xml:space="preserve">RL bucket</t>
  </si>
  <si>
    <t xml:space="preserve">Segment</t>
  </si>
  <si>
    <t xml:space="preserve">Note</t>
  </si>
  <si>
    <t xml:space="preserve">0 DPD</t>
  </si>
  <si>
    <t xml:space="preserve">0 (no due) / 1 (current)</t>
  </si>
  <si>
    <t xml:space="preserve">—</t>
  </si>
  <si>
    <t xml:space="preserve">Clean.</t>
  </si>
  <si>
    <t xml:space="preserve">1–30 DPD</t>
  </si>
  <si>
    <t xml:space="preserve">Delinquency starts.</t>
  </si>
  <si>
    <t xml:space="preserve">31–60 DPD</t>
  </si>
  <si>
    <t xml:space="preserve">61–90 DPD</t>
  </si>
  <si>
    <t xml:space="preserve">61–180 DPD</t>
  </si>
  <si>
    <t xml:space="preserve">Segment starts.</t>
  </si>
  <si>
    <t xml:space="preserve">91–120 DPD</t>
  </si>
  <si>
    <t xml:space="preserve">121–150 DPD</t>
  </si>
  <si>
    <t xml:space="preserve">6</t>
  </si>
  <si>
    <t xml:space="preserve">151–180 DPD</t>
  </si>
  <si>
    <t xml:space="preserve">7</t>
  </si>
  <si>
    <t xml:space="preserve">Highest bucket for Stabilized.</t>
  </si>
  <si>
    <t xml:space="preserve">181–210 DPD</t>
  </si>
  <si>
    <t xml:space="preserve">8</t>
  </si>
  <si>
    <t xml:space="preserve">7 (ceiling)</t>
  </si>
  <si>
    <t xml:space="preserve">180+ DPD</t>
  </si>
  <si>
    <t xml:space="preserve">RL ceiling: RL 7 = all of 180+.</t>
  </si>
  <si>
    <t xml:space="preserve">210+ DPD</t>
  </si>
  <si>
    <t xml:space="preserve">9 (ceiling)</t>
  </si>
  <si>
    <t xml:space="preserve">CC ceiling.</t>
  </si>
  <si>
    <t xml:space="preserve">Reading one month to the next</t>
  </si>
  <si>
    <t xml:space="preserve">This month vs last</t>
  </si>
  <si>
    <t xml:space="preserve">Meaning</t>
  </si>
  <si>
    <t xml:space="preserve">Months' due paid</t>
  </si>
  <si>
    <t xml:space="preserve">One bucket worse</t>
  </si>
  <si>
    <t xml:space="preserve">Nothing paid</t>
  </si>
  <si>
    <t xml:space="preserve">Same bucket</t>
  </si>
  <si>
    <t xml:space="preserve">One month's due paid</t>
  </si>
  <si>
    <t xml:space="preserve">k buckets better</t>
  </si>
  <si>
    <t xml:space="preserve">k + 1 months paid at once</t>
  </si>
  <si>
    <t xml:space="preserve">k + 1</t>
  </si>
  <si>
    <t xml:space="preserve">Back to 0 DPD</t>
  </si>
  <si>
    <t xml:space="preserve">Cured (rare from 61+ DPD)</t>
  </si>
  <si>
    <t xml:space="preserve">all</t>
  </si>
  <si>
    <t xml:space="preserve">Same bucket at the ceiling</t>
  </si>
  <si>
    <t xml:space="preserve">Not a payment: the bucket cannot rise</t>
  </si>
  <si>
    <t xml:space="preserve">Data handling</t>
  </si>
  <si>
    <t xml:space="preserve">How the monthly history is prepared before the questions are asked.</t>
  </si>
  <si>
    <t xml:space="preserve">Situation</t>
  </si>
  <si>
    <t xml:space="preserve">What we do</t>
  </si>
  <si>
    <t xml:space="preserve">Effect on states</t>
  </si>
  <si>
    <t xml:space="preserve">History before the window start (CC Jan 2024, RL Jan 2019)</t>
  </si>
  <si>
    <t xml:space="preserve">Not used.</t>
  </si>
  <si>
    <t xml:space="preserve">Never EPD; a straight roller counts as seasoned.</t>
  </si>
  <si>
    <t xml:space="preserve">History starts already overdue</t>
  </si>
  <si>
    <t xml:space="preserve">Start of the delinquency is missing.</t>
  </si>
  <si>
    <t xml:space="preserve">Unknown, unless Stabilized.</t>
  </si>
  <si>
    <t xml:space="preserve">Missing month between two equal buckets</t>
  </si>
  <si>
    <t xml:space="preserve">Filled with that bucket.</t>
  </si>
  <si>
    <t xml:space="preserve">None.</t>
  </si>
  <si>
    <t xml:space="preserve">Missing month where only a straight roll fits</t>
  </si>
  <si>
    <t xml:space="preserve">Filled as the roll.</t>
  </si>
  <si>
    <t xml:space="preserve">Other gaps of up to 2 months</t>
  </si>
  <si>
    <t xml:space="preserve">Filled: last bucket carried, rising as late as possible.</t>
  </si>
  <si>
    <t xml:space="preserve">Can read as a payment.</t>
  </si>
  <si>
    <t xml:space="preserve">Longer gaps</t>
  </si>
  <si>
    <t xml:space="preserve">History starts after the gap.</t>
  </si>
  <si>
    <t xml:space="preserve">As for history before the window start.</t>
  </si>
  <si>
    <t xml:space="preserve">One-month data errors (4 0 4, 0 3 0)</t>
  </si>
  <si>
    <t xml:space="preserve">Corrected to the neighbours.</t>
  </si>
  <si>
    <t xml:space="preserve">No false cure or false earlier delinquency.</t>
  </si>
  <si>
    <t xml:space="preserve">Billing-cycle jumps (3 3 5 for 3 4 5), CC</t>
  </si>
  <si>
    <t xml:space="preserve">Corrected to the roll.</t>
  </si>
  <si>
    <t xml:space="preserve">No false payment.</t>
  </si>
  <si>
    <t xml:space="preserve">No usable bucket in the window</t>
  </si>
  <si>
    <t xml:space="preserve">Not classified.</t>
  </si>
  <si>
    <t xml:space="preserve">Counts against coverage (target 99.9%).</t>
  </si>
  <si>
    <t xml:space="preserve">Latest month older than the scoring date</t>
  </si>
  <si>
    <t xml:space="preserve">Flagged.</t>
  </si>
  <si>
    <t xml:space="preserve">Classified on the history we have.</t>
  </si>
  <si>
    <t xml:space="preserve">Results</t>
  </si>
  <si>
    <t xml:space="preserve">Accounts per state, scoring date to be filled. Blue = counts from the scoring run; shares and coverage are calculated. Yellow = to fill in.</t>
  </si>
  <si>
    <t xml:space="preserve">CC 61–180 DPD
accounts</t>
  </si>
  <si>
    <t xml:space="preserve">share</t>
  </si>
  <si>
    <t xml:space="preserve">CC 180+ DPD
accounts</t>
  </si>
  <si>
    <t xml:space="preserve">RL 61–180 DPD
accounts</t>
  </si>
  <si>
    <t xml:space="preserve">RL 180+ DPD
accounts</t>
  </si>
  <si>
    <t xml:space="preserve">Classified accounts</t>
  </si>
  <si>
    <t xml:space="preserve">In segment, not classified</t>
  </si>
  <si>
    <t xml:space="preserve">Coverage (target 99.9%)</t>
  </si>
  <si>
    <t xml:space="preserve">Stabilized is not possible at 180+ (61–180 DPD only).</t>
  </si>
  <si>
    <t xml:space="preserve">Roll rates are not shown: they would be measured on the same months that define the states.</t>
  </si>
  <si>
    <t xml:space="preserve">No account-level data.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</si>
</sst>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A6A6A6"/>
        <bgColor rgb="FF8FAADC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339966"/>
      </patternFill>
    </fill>
    <fill>
      <patternFill patternType="solid">
        <fgColor rgb="FFC55A11"/>
        <bgColor rgb="FFED7D31"/>
      </patternFill>
    </fill>
    <fill>
      <patternFill patternType="solid">
        <fgColor rgb="FF2F5597"/>
        <bgColor rgb="FF1F3864"/>
      </patternFill>
    </fill>
    <fill>
      <patternFill patternType="solid">
        <fgColor rgb="FF8FAADC"/>
        <bgColor rgb="FFA6A6A6"/>
      </patternFill>
    </fill>
    <fill>
      <patternFill patternType="solid">
        <fgColor rgb="FF7030A0"/>
        <bgColor rgb="FF800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4B183"/>
        <bgColor rgb="FFF8CBAD"/>
      </patternFill>
    </fill>
    <fill>
      <patternFill patternType="solid">
        <fgColor rgb="FFED7D31"/>
        <bgColor rgb="FFFF8080"/>
      </patternFill>
    </fill>
    <fill>
      <patternFill patternType="solid">
        <fgColor rgb="FF843C0C"/>
        <bgColor rgb="FF595959"/>
      </patternFill>
    </fill>
    <fill>
      <patternFill patternType="solid">
        <fgColor rgb="FF3B1A06"/>
        <bgColor rgb="FF333333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1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595959"/>
      <rgbColor rgb="FFA6A6A6"/>
      <rgbColor rgb="FF1F3864"/>
      <rgbColor rgb="FF339966"/>
      <rgbColor rgb="FF003300"/>
      <rgbColor rgb="FF3B1A06"/>
      <rgbColor rgb="FF843C0C"/>
      <rgbColor rgb="FFC55A11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4" t="s">
        <v>3</v>
      </c>
      <c r="C4" s="4"/>
      <c r="D4" s="4"/>
      <c r="E4" s="4"/>
    </row>
    <row r="5" customFormat="false" ht="21.75" hidden="false" customHeight="true" outlineLevel="0" collapsed="false">
      <c r="A5" s="3" t="s">
        <v>4</v>
      </c>
      <c r="B5" s="4" t="s">
        <v>5</v>
      </c>
      <c r="C5" s="4"/>
      <c r="D5" s="4"/>
      <c r="E5" s="4"/>
    </row>
    <row r="6" customFormat="false" ht="21.75" hidden="false" customHeight="true" outlineLevel="0" collapsed="false">
      <c r="A6" s="3" t="s">
        <v>6</v>
      </c>
      <c r="B6" s="4" t="s">
        <v>7</v>
      </c>
      <c r="C6" s="4"/>
      <c r="D6" s="4"/>
      <c r="E6" s="4"/>
    </row>
    <row r="7" customFormat="false" ht="21.75" hidden="false" customHeight="true" outlineLevel="0" collapsed="false">
      <c r="A7" s="3" t="s">
        <v>8</v>
      </c>
      <c r="B7" s="4" t="s">
        <v>9</v>
      </c>
      <c r="C7" s="4"/>
      <c r="D7" s="4"/>
      <c r="E7" s="4"/>
    </row>
    <row r="9" customFormat="false" ht="15" hidden="false" customHeight="false" outlineLevel="0" collapsed="false">
      <c r="A9" s="5" t="s">
        <v>10</v>
      </c>
      <c r="B9" s="6"/>
      <c r="C9" s="6"/>
      <c r="D9" s="6"/>
      <c r="E9" s="6"/>
    </row>
    <row r="10" customFormat="false" ht="23.85" hidden="false" customHeight="false" outlineLevel="0" collapsed="false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</row>
    <row r="11" customFormat="false" ht="36" hidden="false" customHeight="true" outlineLevel="0" collapsed="false">
      <c r="A11" s="8" t="s">
        <v>16</v>
      </c>
      <c r="B11" s="9" t="s">
        <v>17</v>
      </c>
      <c r="C11" s="9" t="s">
        <v>18</v>
      </c>
      <c r="D11" s="9" t="s">
        <v>19</v>
      </c>
      <c r="E11" s="10" t="s">
        <v>20</v>
      </c>
    </row>
    <row r="12" customFormat="false" ht="36" hidden="false" customHeight="true" outlineLevel="0" collapsed="false">
      <c r="A12" s="11" t="s">
        <v>21</v>
      </c>
      <c r="B12" s="9" t="s">
        <v>22</v>
      </c>
      <c r="C12" s="9" t="s">
        <v>23</v>
      </c>
      <c r="D12" s="9" t="s">
        <v>24</v>
      </c>
      <c r="E12" s="10" t="s">
        <v>25</v>
      </c>
    </row>
    <row r="13" customFormat="false" ht="36" hidden="false" customHeight="true" outlineLevel="0" collapsed="false">
      <c r="A13" s="12" t="s">
        <v>26</v>
      </c>
      <c r="B13" s="9" t="s">
        <v>27</v>
      </c>
      <c r="C13" s="9" t="s">
        <v>28</v>
      </c>
      <c r="D13" s="9" t="s">
        <v>29</v>
      </c>
      <c r="E13" s="10" t="s">
        <v>30</v>
      </c>
    </row>
    <row r="14" customFormat="false" ht="36" hidden="false" customHeight="true" outlineLevel="0" collapsed="false">
      <c r="A14" s="13" t="s">
        <v>31</v>
      </c>
      <c r="B14" s="9" t="s">
        <v>32</v>
      </c>
      <c r="C14" s="9" t="s">
        <v>33</v>
      </c>
      <c r="D14" s="9" t="s">
        <v>19</v>
      </c>
      <c r="E14" s="10" t="s">
        <v>34</v>
      </c>
    </row>
    <row r="15" customFormat="false" ht="36" hidden="false" customHeight="true" outlineLevel="0" collapsed="false">
      <c r="A15" s="14" t="s">
        <v>35</v>
      </c>
      <c r="B15" s="9" t="s">
        <v>36</v>
      </c>
      <c r="C15" s="9" t="s">
        <v>37</v>
      </c>
      <c r="D15" s="9" t="s">
        <v>19</v>
      </c>
      <c r="E15" s="10" t="s">
        <v>38</v>
      </c>
    </row>
    <row r="16" customFormat="false" ht="36" hidden="false" customHeight="true" outlineLevel="0" collapsed="false">
      <c r="A16" s="15" t="s">
        <v>39</v>
      </c>
      <c r="B16" s="9" t="s">
        <v>40</v>
      </c>
      <c r="C16" s="9" t="s">
        <v>41</v>
      </c>
      <c r="D16" s="9" t="s">
        <v>19</v>
      </c>
      <c r="E16" s="10" t="s">
        <v>38</v>
      </c>
    </row>
    <row r="17" customFormat="false" ht="36" hidden="false" customHeight="true" outlineLevel="0" collapsed="false">
      <c r="A17" s="16" t="s">
        <v>42</v>
      </c>
      <c r="B17" s="9" t="s">
        <v>43</v>
      </c>
      <c r="C17" s="9" t="s">
        <v>44</v>
      </c>
      <c r="D17" s="9" t="s">
        <v>19</v>
      </c>
      <c r="E17" s="10" t="s">
        <v>45</v>
      </c>
    </row>
    <row r="19" customFormat="false" ht="15" hidden="false" customHeight="false" outlineLevel="0" collapsed="false">
      <c r="A19" s="17" t="s">
        <v>46</v>
      </c>
    </row>
  </sheetData>
  <mergeCells count="5">
    <mergeCell ref="A2:E2"/>
    <mergeCell ref="B4:E4"/>
    <mergeCell ref="B5:E5"/>
    <mergeCell ref="B6:E6"/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47</v>
      </c>
    </row>
    <row r="2" customFormat="false" ht="30" hidden="false" customHeight="true" outlineLevel="0" collapsed="false">
      <c r="A2" s="2" t="s">
        <v>48</v>
      </c>
      <c r="B2" s="2"/>
      <c r="C2" s="2"/>
      <c r="D2" s="2"/>
      <c r="E2" s="2"/>
    </row>
    <row r="4" customFormat="false" ht="15" hidden="false" customHeight="false" outlineLevel="0" collapsed="false">
      <c r="A4" s="5" t="s">
        <v>49</v>
      </c>
      <c r="B4" s="6"/>
      <c r="C4" s="6"/>
      <c r="D4" s="6"/>
      <c r="E4" s="6"/>
    </row>
    <row r="5" customFormat="false" ht="30" hidden="false" customHeight="true" outlineLevel="0" collapsed="false">
      <c r="A5" s="18" t="s">
        <v>50</v>
      </c>
      <c r="B5" s="19" t="s">
        <v>51</v>
      </c>
      <c r="C5" s="20" t="s">
        <v>52</v>
      </c>
      <c r="D5" s="8" t="s">
        <v>53</v>
      </c>
    </row>
    <row r="6" customFormat="false" ht="15" hidden="false" customHeight="false" outlineLevel="0" collapsed="false">
      <c r="B6" s="21" t="s">
        <v>54</v>
      </c>
    </row>
    <row r="7" customFormat="false" ht="30" hidden="false" customHeight="true" outlineLevel="0" collapsed="false">
      <c r="A7" s="18" t="s">
        <v>55</v>
      </c>
      <c r="B7" s="19" t="s">
        <v>56</v>
      </c>
      <c r="C7" s="20" t="s">
        <v>52</v>
      </c>
      <c r="D7" s="11" t="s">
        <v>21</v>
      </c>
    </row>
    <row r="8" customFormat="false" ht="15" hidden="false" customHeight="false" outlineLevel="0" collapsed="false">
      <c r="B8" s="21" t="s">
        <v>54</v>
      </c>
    </row>
    <row r="9" customFormat="false" ht="30" hidden="false" customHeight="true" outlineLevel="0" collapsed="false">
      <c r="A9" s="18" t="s">
        <v>57</v>
      </c>
      <c r="B9" s="19" t="s">
        <v>58</v>
      </c>
      <c r="C9" s="20" t="s">
        <v>52</v>
      </c>
      <c r="D9" s="12" t="s">
        <v>26</v>
      </c>
    </row>
    <row r="10" customFormat="false" ht="15" hidden="false" customHeight="false" outlineLevel="0" collapsed="false">
      <c r="B10" s="21" t="s">
        <v>54</v>
      </c>
    </row>
    <row r="11" customFormat="false" ht="30" hidden="false" customHeight="true" outlineLevel="0" collapsed="false">
      <c r="A11" s="18" t="s">
        <v>59</v>
      </c>
      <c r="B11" s="19" t="s">
        <v>60</v>
      </c>
      <c r="C11" s="20" t="s">
        <v>52</v>
      </c>
      <c r="D11" s="13" t="s">
        <v>31</v>
      </c>
    </row>
    <row r="12" customFormat="false" ht="15" hidden="false" customHeight="false" outlineLevel="0" collapsed="false">
      <c r="B12" s="21" t="s">
        <v>54</v>
      </c>
    </row>
    <row r="13" customFormat="false" ht="30" hidden="false" customHeight="true" outlineLevel="0" collapsed="false">
      <c r="A13" s="18" t="s">
        <v>61</v>
      </c>
      <c r="B13" s="19" t="s">
        <v>62</v>
      </c>
      <c r="C13" s="20" t="s">
        <v>52</v>
      </c>
      <c r="D13" s="14" t="s">
        <v>63</v>
      </c>
      <c r="E13" s="15" t="s">
        <v>64</v>
      </c>
    </row>
    <row r="14" customFormat="false" ht="15" hidden="false" customHeight="false" outlineLevel="0" collapsed="false">
      <c r="B14" s="21" t="s">
        <v>54</v>
      </c>
    </row>
    <row r="15" customFormat="false" ht="30" hidden="false" customHeight="true" outlineLevel="0" collapsed="false">
      <c r="A15" s="18" t="s">
        <v>65</v>
      </c>
      <c r="B15" s="19" t="s">
        <v>66</v>
      </c>
      <c r="C15" s="20" t="s">
        <v>67</v>
      </c>
      <c r="D15" s="16" t="s">
        <v>42</v>
      </c>
    </row>
    <row r="17" customFormat="false" ht="15" hidden="false" customHeight="false" outlineLevel="0" collapsed="false">
      <c r="A17" s="5" t="s">
        <v>68</v>
      </c>
      <c r="B17" s="6"/>
      <c r="C17" s="6"/>
      <c r="D17" s="6"/>
      <c r="E17" s="6"/>
    </row>
    <row r="18" customFormat="false" ht="15" hidden="false" customHeight="true" outlineLevel="0" collapsed="false">
      <c r="A18" s="7" t="s">
        <v>69</v>
      </c>
      <c r="B18" s="7" t="s">
        <v>70</v>
      </c>
      <c r="C18" s="7" t="s">
        <v>71</v>
      </c>
      <c r="D18" s="7" t="s">
        <v>72</v>
      </c>
      <c r="E18" s="7"/>
    </row>
    <row r="19" customFormat="false" ht="43.5" hidden="false" customHeight="true" outlineLevel="0" collapsed="false">
      <c r="A19" s="10" t="s">
        <v>20</v>
      </c>
      <c r="B19" s="9" t="s">
        <v>51</v>
      </c>
      <c r="C19" s="8" t="s">
        <v>16</v>
      </c>
      <c r="D19" s="9" t="s">
        <v>73</v>
      </c>
      <c r="E19" s="9"/>
    </row>
    <row r="20" customFormat="false" ht="43.5" hidden="false" customHeight="true" outlineLevel="0" collapsed="false">
      <c r="A20" s="10" t="s">
        <v>25</v>
      </c>
      <c r="B20" s="9" t="s">
        <v>56</v>
      </c>
      <c r="C20" s="11" t="s">
        <v>21</v>
      </c>
      <c r="D20" s="9" t="s">
        <v>74</v>
      </c>
      <c r="E20" s="9"/>
    </row>
    <row r="21" customFormat="false" ht="61.5" hidden="false" customHeight="true" outlineLevel="0" collapsed="false">
      <c r="A21" s="10" t="s">
        <v>30</v>
      </c>
      <c r="B21" s="9" t="s">
        <v>58</v>
      </c>
      <c r="C21" s="12" t="s">
        <v>26</v>
      </c>
      <c r="D21" s="9" t="s">
        <v>75</v>
      </c>
      <c r="E21" s="9"/>
    </row>
    <row r="22" customFormat="false" ht="43.5" hidden="false" customHeight="true" outlineLevel="0" collapsed="false">
      <c r="A22" s="10" t="s">
        <v>34</v>
      </c>
      <c r="B22" s="9" t="s">
        <v>60</v>
      </c>
      <c r="C22" s="13" t="s">
        <v>31</v>
      </c>
      <c r="D22" s="9" t="s">
        <v>76</v>
      </c>
      <c r="E22" s="9"/>
    </row>
    <row r="23" customFormat="false" ht="43.5" hidden="false" customHeight="true" outlineLevel="0" collapsed="false">
      <c r="A23" s="10" t="s">
        <v>38</v>
      </c>
      <c r="B23" s="9" t="s">
        <v>62</v>
      </c>
      <c r="C23" s="14" t="s">
        <v>35</v>
      </c>
      <c r="D23" s="9" t="s">
        <v>77</v>
      </c>
      <c r="E23" s="9"/>
    </row>
    <row r="24" customFormat="false" ht="43.5" hidden="false" customHeight="true" outlineLevel="0" collapsed="false">
      <c r="A24" s="10" t="s">
        <v>45</v>
      </c>
      <c r="B24" s="9" t="s">
        <v>66</v>
      </c>
      <c r="C24" s="16" t="s">
        <v>42</v>
      </c>
      <c r="D24" s="9" t="s">
        <v>78</v>
      </c>
      <c r="E24" s="9"/>
    </row>
    <row r="26" customFormat="false" ht="15" hidden="false" customHeight="false" outlineLevel="0" collapsed="false">
      <c r="A26" s="5" t="s">
        <v>79</v>
      </c>
      <c r="B26" s="6"/>
      <c r="C26" s="6"/>
      <c r="D26" s="6"/>
      <c r="E26" s="6"/>
    </row>
    <row r="27" customFormat="false" ht="21.75" hidden="false" customHeight="true" outlineLevel="0" collapsed="false">
      <c r="A27" s="22" t="s">
        <v>80</v>
      </c>
      <c r="B27" s="22"/>
      <c r="C27" s="4" t="s">
        <v>81</v>
      </c>
      <c r="D27" s="4"/>
      <c r="E27" s="4"/>
    </row>
    <row r="28" customFormat="false" ht="21.75" hidden="false" customHeight="true" outlineLevel="0" collapsed="false">
      <c r="A28" s="22" t="s">
        <v>82</v>
      </c>
      <c r="B28" s="22"/>
      <c r="C28" s="4" t="s">
        <v>83</v>
      </c>
      <c r="D28" s="4"/>
      <c r="E28" s="4"/>
    </row>
    <row r="29" customFormat="false" ht="21.75" hidden="false" customHeight="true" outlineLevel="0" collapsed="false">
      <c r="A29" s="22" t="s">
        <v>84</v>
      </c>
      <c r="B29" s="22"/>
      <c r="C29" s="4" t="s">
        <v>85</v>
      </c>
      <c r="D29" s="4"/>
      <c r="E29" s="4"/>
    </row>
    <row r="30" customFormat="false" ht="21.75" hidden="false" customHeight="true" outlineLevel="0" collapsed="false">
      <c r="A30" s="22" t="s">
        <v>86</v>
      </c>
      <c r="B30" s="22"/>
      <c r="C30" s="4" t="s">
        <v>87</v>
      </c>
      <c r="D30" s="4"/>
      <c r="E30" s="4"/>
    </row>
    <row r="31" customFormat="false" ht="21.75" hidden="false" customHeight="true" outlineLevel="0" collapsed="false">
      <c r="A31" s="22" t="s">
        <v>88</v>
      </c>
      <c r="B31" s="22"/>
      <c r="C31" s="4" t="s">
        <v>89</v>
      </c>
      <c r="D31" s="4"/>
      <c r="E31" s="4"/>
    </row>
    <row r="32" customFormat="false" ht="21.75" hidden="false" customHeight="true" outlineLevel="0" collapsed="false">
      <c r="A32" s="22" t="s">
        <v>90</v>
      </c>
      <c r="B32" s="22"/>
      <c r="C32" s="4" t="s">
        <v>91</v>
      </c>
      <c r="D32" s="4"/>
      <c r="E32" s="4"/>
    </row>
    <row r="33" customFormat="false" ht="21.75" hidden="false" customHeight="true" outlineLevel="0" collapsed="false">
      <c r="A33" s="22" t="s">
        <v>92</v>
      </c>
      <c r="B33" s="22"/>
      <c r="C33" s="4" t="s">
        <v>93</v>
      </c>
      <c r="D33" s="4"/>
      <c r="E33" s="4"/>
    </row>
  </sheetData>
  <mergeCells count="22">
    <mergeCell ref="A2:E2"/>
    <mergeCell ref="D18:E18"/>
    <mergeCell ref="D19:E19"/>
    <mergeCell ref="D20:E20"/>
    <mergeCell ref="D21:E21"/>
    <mergeCell ref="D22:E22"/>
    <mergeCell ref="D23:E23"/>
    <mergeCell ref="D24:E24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20" min="3" style="0" width="5.2"/>
    <col collapsed="false" customWidth="true" hidden="false" outlineLevel="0" max="21" min="21" style="0" width="44"/>
    <col collapsed="false" customWidth="true" hidden="false" outlineLevel="0" max="22" min="22" style="0" width="6"/>
  </cols>
  <sheetData>
    <row r="1" customFormat="false" ht="19.7" hidden="false" customHeight="false" outlineLevel="0" collapsed="false">
      <c r="A1" s="1" t="s">
        <v>94</v>
      </c>
    </row>
    <row r="2" customFormat="false" ht="30" hidden="false" customHeight="true" outlineLevel="0" collapsed="false">
      <c r="A2" s="2" t="s">
        <v>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5" hidden="false" customHeight="true" outlineLevel="0" collapsed="false">
      <c r="A4" s="23" t="s">
        <v>96</v>
      </c>
      <c r="C4" s="24" t="s">
        <v>97</v>
      </c>
      <c r="D4" s="24"/>
      <c r="E4" s="25" t="s">
        <v>98</v>
      </c>
      <c r="F4" s="25"/>
      <c r="G4" s="26" t="s">
        <v>99</v>
      </c>
      <c r="H4" s="26"/>
      <c r="I4" s="27" t="s">
        <v>100</v>
      </c>
      <c r="J4" s="27"/>
      <c r="K4" s="28" t="s">
        <v>101</v>
      </c>
      <c r="L4" s="28"/>
      <c r="M4" s="29" t="s">
        <v>102</v>
      </c>
      <c r="N4" s="29"/>
      <c r="O4" s="30" t="s">
        <v>103</v>
      </c>
      <c r="P4" s="30"/>
      <c r="Q4" s="31" t="s">
        <v>104</v>
      </c>
      <c r="R4" s="31"/>
      <c r="S4" s="32" t="s">
        <v>105</v>
      </c>
      <c r="T4" s="32"/>
    </row>
    <row r="6" customFormat="false" ht="23.85" hidden="false" customHeight="true" outlineLevel="0" collapsed="false">
      <c r="A6" s="7" t="s">
        <v>11</v>
      </c>
      <c r="B6" s="7" t="s">
        <v>15</v>
      </c>
      <c r="C6" s="7" t="s">
        <v>106</v>
      </c>
      <c r="D6" s="7" t="s">
        <v>107</v>
      </c>
      <c r="E6" s="7" t="s">
        <v>108</v>
      </c>
      <c r="F6" s="7" t="s">
        <v>109</v>
      </c>
      <c r="G6" s="7" t="s">
        <v>110</v>
      </c>
      <c r="H6" s="7" t="s">
        <v>111</v>
      </c>
      <c r="I6" s="7" t="s">
        <v>112</v>
      </c>
      <c r="J6" s="7" t="s">
        <v>113</v>
      </c>
      <c r="K6" s="7" t="s">
        <v>114</v>
      </c>
      <c r="L6" s="7" t="s">
        <v>115</v>
      </c>
      <c r="M6" s="7" t="s">
        <v>116</v>
      </c>
      <c r="N6" s="7" t="s">
        <v>117</v>
      </c>
      <c r="O6" s="7" t="s">
        <v>118</v>
      </c>
      <c r="P6" s="7" t="s">
        <v>119</v>
      </c>
      <c r="Q6" s="7" t="s">
        <v>120</v>
      </c>
      <c r="R6" s="7" t="s">
        <v>121</v>
      </c>
      <c r="S6" s="7" t="s">
        <v>122</v>
      </c>
      <c r="T6" s="7" t="s">
        <v>123</v>
      </c>
      <c r="U6" s="7" t="s">
        <v>124</v>
      </c>
      <c r="V6" s="7"/>
    </row>
    <row r="7" customFormat="false" ht="27.75" hidden="false" customHeight="true" outlineLevel="0" collapsed="false">
      <c r="A7" s="11" t="s">
        <v>21</v>
      </c>
      <c r="B7" s="10" t="s">
        <v>25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4" t="n">
        <v>0</v>
      </c>
      <c r="O7" s="34" t="n">
        <v>0</v>
      </c>
      <c r="P7" s="34" t="n">
        <v>0</v>
      </c>
      <c r="Q7" s="35" t="n">
        <v>2</v>
      </c>
      <c r="R7" s="36" t="n">
        <v>3</v>
      </c>
      <c r="S7" s="37" t="n">
        <v>4</v>
      </c>
      <c r="T7" s="38" t="n">
        <v>5</v>
      </c>
      <c r="U7" s="9" t="s">
        <v>125</v>
      </c>
      <c r="V7" s="9"/>
    </row>
    <row r="8" customFormat="false" ht="27.75" hidden="false" customHeight="true" outlineLevel="0" collapsed="false">
      <c r="A8" s="11" t="s">
        <v>21</v>
      </c>
      <c r="B8" s="10" t="s">
        <v>25</v>
      </c>
      <c r="C8" s="33"/>
      <c r="D8" s="33"/>
      <c r="E8" s="33"/>
      <c r="F8" s="33"/>
      <c r="G8" s="33"/>
      <c r="H8" s="33"/>
      <c r="I8" s="33"/>
      <c r="J8" s="34" t="n">
        <v>0</v>
      </c>
      <c r="K8" s="35" t="n">
        <v>2</v>
      </c>
      <c r="L8" s="36" t="n">
        <v>3</v>
      </c>
      <c r="M8" s="37" t="n">
        <v>4</v>
      </c>
      <c r="N8" s="39" t="n">
        <v>5</v>
      </c>
      <c r="O8" s="40" t="n">
        <v>6</v>
      </c>
      <c r="P8" s="41" t="n">
        <v>7</v>
      </c>
      <c r="Q8" s="42" t="n">
        <v>8</v>
      </c>
      <c r="R8" s="43" t="n">
        <v>9</v>
      </c>
      <c r="S8" s="43" t="n">
        <v>9</v>
      </c>
      <c r="T8" s="44" t="n">
        <v>9</v>
      </c>
      <c r="U8" s="9" t="s">
        <v>126</v>
      </c>
      <c r="V8" s="9"/>
    </row>
    <row r="9" customFormat="false" ht="27.75" hidden="false" customHeight="true" outlineLevel="0" collapsed="false">
      <c r="A9" s="12" t="s">
        <v>26</v>
      </c>
      <c r="B9" s="10" t="s">
        <v>30</v>
      </c>
      <c r="C9" s="33"/>
      <c r="D9" s="34" t="n">
        <v>0</v>
      </c>
      <c r="E9" s="34" t="n">
        <v>0</v>
      </c>
      <c r="F9" s="34" t="n">
        <v>0</v>
      </c>
      <c r="G9" s="34" t="n">
        <v>0</v>
      </c>
      <c r="H9" s="34" t="n">
        <v>0</v>
      </c>
      <c r="I9" s="34" t="n">
        <v>0</v>
      </c>
      <c r="J9" s="34" t="n">
        <v>0</v>
      </c>
      <c r="K9" s="34" t="n">
        <v>0</v>
      </c>
      <c r="L9" s="35" t="n">
        <v>2</v>
      </c>
      <c r="M9" s="36" t="n">
        <v>3</v>
      </c>
      <c r="N9" s="37" t="n">
        <v>4</v>
      </c>
      <c r="O9" s="37" t="n">
        <v>4</v>
      </c>
      <c r="P9" s="39" t="n">
        <v>5</v>
      </c>
      <c r="Q9" s="39" t="n">
        <v>5</v>
      </c>
      <c r="R9" s="39" t="n">
        <v>5</v>
      </c>
      <c r="S9" s="39" t="n">
        <v>5</v>
      </c>
      <c r="T9" s="38" t="n">
        <v>5</v>
      </c>
      <c r="U9" s="9" t="s">
        <v>127</v>
      </c>
      <c r="V9" s="9"/>
    </row>
    <row r="10" customFormat="false" ht="27.75" hidden="false" customHeight="true" outlineLevel="0" collapsed="false">
      <c r="A10" s="12" t="s">
        <v>26</v>
      </c>
      <c r="B10" s="10" t="s">
        <v>30</v>
      </c>
      <c r="C10" s="35" t="n">
        <v>2</v>
      </c>
      <c r="D10" s="36" t="n">
        <v>3</v>
      </c>
      <c r="E10" s="37" t="n">
        <v>4</v>
      </c>
      <c r="F10" s="37" t="n">
        <v>4</v>
      </c>
      <c r="G10" s="37" t="n">
        <v>4</v>
      </c>
      <c r="H10" s="36" t="n">
        <v>3</v>
      </c>
      <c r="I10" s="36" t="n">
        <v>3</v>
      </c>
      <c r="J10" s="37" t="n">
        <v>4</v>
      </c>
      <c r="K10" s="39" t="n">
        <v>5</v>
      </c>
      <c r="L10" s="37" t="n">
        <v>4</v>
      </c>
      <c r="M10" s="36" t="n">
        <v>3</v>
      </c>
      <c r="N10" s="36" t="n">
        <v>3</v>
      </c>
      <c r="O10" s="37" t="n">
        <v>4</v>
      </c>
      <c r="P10" s="39" t="n">
        <v>5</v>
      </c>
      <c r="Q10" s="40" t="n">
        <v>6</v>
      </c>
      <c r="R10" s="39" t="n">
        <v>5</v>
      </c>
      <c r="S10" s="39" t="n">
        <v>5</v>
      </c>
      <c r="T10" s="45" t="n">
        <v>4</v>
      </c>
      <c r="U10" s="9" t="s">
        <v>128</v>
      </c>
      <c r="V10" s="9"/>
    </row>
    <row r="11" customFormat="false" ht="27.75" hidden="false" customHeight="true" outlineLevel="0" collapsed="false">
      <c r="A11" s="12" t="s">
        <v>26</v>
      </c>
      <c r="B11" s="10" t="s">
        <v>129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9" t="n">
        <v>5</v>
      </c>
      <c r="P11" s="39" t="n">
        <v>5</v>
      </c>
      <c r="Q11" s="39" t="n">
        <v>5</v>
      </c>
      <c r="R11" s="39" t="n">
        <v>5</v>
      </c>
      <c r="S11" s="39" t="n">
        <v>5</v>
      </c>
      <c r="T11" s="38" t="n">
        <v>5</v>
      </c>
      <c r="U11" s="9" t="s">
        <v>130</v>
      </c>
      <c r="V11" s="9"/>
    </row>
    <row r="12" customFormat="false" ht="27.75" hidden="false" customHeight="true" outlineLevel="0" collapsed="false">
      <c r="A12" s="13" t="s">
        <v>31</v>
      </c>
      <c r="B12" s="10" t="s">
        <v>34</v>
      </c>
      <c r="C12" s="33"/>
      <c r="D12" s="33"/>
      <c r="E12" s="34" t="n">
        <v>0</v>
      </c>
      <c r="F12" s="35" t="n">
        <v>2</v>
      </c>
      <c r="G12" s="36" t="n">
        <v>3</v>
      </c>
      <c r="H12" s="37" t="n">
        <v>4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4" t="n">
        <v>0</v>
      </c>
      <c r="Q12" s="35" t="n">
        <v>2</v>
      </c>
      <c r="R12" s="36" t="n">
        <v>3</v>
      </c>
      <c r="S12" s="37" t="n">
        <v>4</v>
      </c>
      <c r="T12" s="38" t="n">
        <v>5</v>
      </c>
      <c r="U12" s="9" t="s">
        <v>131</v>
      </c>
      <c r="V12" s="9"/>
    </row>
    <row r="13" customFormat="false" ht="27.75" hidden="false" customHeight="true" outlineLevel="0" collapsed="false">
      <c r="A13" s="14" t="s">
        <v>35</v>
      </c>
      <c r="B13" s="10" t="s">
        <v>38</v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0</v>
      </c>
      <c r="H13" s="34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34" t="n">
        <v>0</v>
      </c>
      <c r="O13" s="34" t="n">
        <v>0</v>
      </c>
      <c r="P13" s="34" t="n">
        <v>0</v>
      </c>
      <c r="Q13" s="35" t="n">
        <v>2</v>
      </c>
      <c r="R13" s="36" t="n">
        <v>3</v>
      </c>
      <c r="S13" s="37" t="n">
        <v>4</v>
      </c>
      <c r="T13" s="38" t="n">
        <v>5</v>
      </c>
      <c r="U13" s="9" t="s">
        <v>132</v>
      </c>
      <c r="V13" s="9"/>
    </row>
    <row r="14" customFormat="false" ht="27.75" hidden="false" customHeight="true" outlineLevel="0" collapsed="false">
      <c r="A14" s="15" t="s">
        <v>39</v>
      </c>
      <c r="B14" s="10" t="s">
        <v>38</v>
      </c>
      <c r="C14" s="33"/>
      <c r="D14" s="33"/>
      <c r="E14" s="33"/>
      <c r="F14" s="33"/>
      <c r="G14" s="33"/>
      <c r="H14" s="33"/>
      <c r="I14" s="33"/>
      <c r="J14" s="33"/>
      <c r="K14" s="34" t="n">
        <v>0</v>
      </c>
      <c r="L14" s="34" t="n">
        <v>0</v>
      </c>
      <c r="M14" s="34" t="n">
        <v>0</v>
      </c>
      <c r="N14" s="34" t="n">
        <v>0</v>
      </c>
      <c r="O14" s="34" t="n">
        <v>0</v>
      </c>
      <c r="P14" s="34" t="n">
        <v>0</v>
      </c>
      <c r="Q14" s="35" t="n">
        <v>2</v>
      </c>
      <c r="R14" s="36" t="n">
        <v>3</v>
      </c>
      <c r="S14" s="37" t="n">
        <v>4</v>
      </c>
      <c r="T14" s="38" t="n">
        <v>5</v>
      </c>
      <c r="U14" s="9" t="s">
        <v>133</v>
      </c>
      <c r="V14" s="9"/>
    </row>
    <row r="15" customFormat="false" ht="27.75" hidden="false" customHeight="true" outlineLevel="0" collapsed="false">
      <c r="A15" s="16" t="s">
        <v>42</v>
      </c>
      <c r="B15" s="10" t="s">
        <v>45</v>
      </c>
      <c r="C15" s="33"/>
      <c r="D15" s="33"/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5" t="n">
        <v>2</v>
      </c>
      <c r="P15" s="35" t="n">
        <v>2</v>
      </c>
      <c r="Q15" s="36" t="n">
        <v>3</v>
      </c>
      <c r="R15" s="36" t="n">
        <v>3</v>
      </c>
      <c r="S15" s="37" t="n">
        <v>4</v>
      </c>
      <c r="T15" s="38" t="n">
        <v>5</v>
      </c>
      <c r="U15" s="9" t="s">
        <v>134</v>
      </c>
      <c r="V15" s="9"/>
    </row>
    <row r="16" customFormat="false" ht="27.75" hidden="false" customHeight="true" outlineLevel="0" collapsed="false">
      <c r="A16" s="8" t="s">
        <v>16</v>
      </c>
      <c r="B16" s="10" t="s">
        <v>20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40" t="n">
        <v>6</v>
      </c>
      <c r="P16" s="40" t="n">
        <v>6</v>
      </c>
      <c r="Q16" s="41" t="n">
        <v>7</v>
      </c>
      <c r="R16" s="41" t="n">
        <v>7</v>
      </c>
      <c r="S16" s="42" t="n">
        <v>8</v>
      </c>
      <c r="T16" s="44" t="n">
        <v>9</v>
      </c>
      <c r="U16" s="9" t="s">
        <v>135</v>
      </c>
      <c r="V16" s="9"/>
    </row>
  </sheetData>
  <mergeCells count="21">
    <mergeCell ref="A2:V2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54"/>
  </cols>
  <sheetData>
    <row r="1" customFormat="false" ht="19.7" hidden="false" customHeight="false" outlineLevel="0" collapsed="false">
      <c r="A1" s="1" t="s">
        <v>136</v>
      </c>
    </row>
    <row r="3" customFormat="false" ht="15" hidden="false" customHeight="false" outlineLevel="0" collapsed="false">
      <c r="A3" s="7" t="s">
        <v>137</v>
      </c>
      <c r="B3" s="7" t="s">
        <v>138</v>
      </c>
      <c r="C3" s="7" t="s">
        <v>139</v>
      </c>
      <c r="D3" s="7" t="s">
        <v>124</v>
      </c>
    </row>
    <row r="4" customFormat="false" ht="21.75" hidden="false" customHeight="true" outlineLevel="0" collapsed="false">
      <c r="A4" s="9" t="s">
        <v>140</v>
      </c>
      <c r="B4" s="9" t="s">
        <v>141</v>
      </c>
      <c r="C4" s="46" t="s">
        <v>142</v>
      </c>
      <c r="D4" s="9" t="s">
        <v>143</v>
      </c>
    </row>
    <row r="5" customFormat="false" ht="21.75" hidden="false" customHeight="true" outlineLevel="0" collapsed="false">
      <c r="A5" s="9" t="s">
        <v>140</v>
      </c>
      <c r="B5" s="9" t="s">
        <v>144</v>
      </c>
      <c r="C5" s="46" t="s">
        <v>25</v>
      </c>
      <c r="D5" s="9" t="s">
        <v>145</v>
      </c>
    </row>
    <row r="6" customFormat="false" ht="21.75" hidden="false" customHeight="true" outlineLevel="0" collapsed="false">
      <c r="A6" s="9" t="s">
        <v>146</v>
      </c>
      <c r="B6" s="9" t="s">
        <v>147</v>
      </c>
      <c r="C6" s="46" t="s">
        <v>34</v>
      </c>
      <c r="D6" s="9" t="s">
        <v>148</v>
      </c>
    </row>
    <row r="7" customFormat="false" ht="21.75" hidden="false" customHeight="true" outlineLevel="0" collapsed="false">
      <c r="A7" s="9" t="s">
        <v>26</v>
      </c>
      <c r="B7" s="9" t="s">
        <v>149</v>
      </c>
      <c r="C7" s="46" t="s">
        <v>150</v>
      </c>
      <c r="D7" s="9" t="s">
        <v>151</v>
      </c>
    </row>
    <row r="8" customFormat="false" ht="21.75" hidden="false" customHeight="true" outlineLevel="0" collapsed="false">
      <c r="A8" s="9" t="s">
        <v>152</v>
      </c>
      <c r="B8" s="9" t="s">
        <v>153</v>
      </c>
      <c r="C8" s="46" t="s">
        <v>154</v>
      </c>
      <c r="D8" s="9" t="s">
        <v>155</v>
      </c>
    </row>
    <row r="9" customFormat="false" ht="21.75" hidden="false" customHeight="true" outlineLevel="0" collapsed="false">
      <c r="A9" s="9" t="s">
        <v>152</v>
      </c>
      <c r="B9" s="9" t="s">
        <v>156</v>
      </c>
      <c r="C9" s="46" t="s">
        <v>157</v>
      </c>
      <c r="D9" s="9" t="s">
        <v>158</v>
      </c>
    </row>
    <row r="10" customFormat="false" ht="21.75" hidden="false" customHeight="true" outlineLevel="0" collapsed="false">
      <c r="A10" s="9" t="s">
        <v>26</v>
      </c>
      <c r="B10" s="9" t="s">
        <v>159</v>
      </c>
      <c r="C10" s="46" t="s">
        <v>160</v>
      </c>
      <c r="D10" s="9" t="s">
        <v>161</v>
      </c>
    </row>
    <row r="11" customFormat="false" ht="21.75" hidden="false" customHeight="true" outlineLevel="0" collapsed="false">
      <c r="A11" s="9" t="s">
        <v>31</v>
      </c>
      <c r="B11" s="9" t="s">
        <v>162</v>
      </c>
      <c r="C11" s="46" t="s">
        <v>163</v>
      </c>
      <c r="D11" s="9" t="s">
        <v>164</v>
      </c>
    </row>
    <row r="12" customFormat="false" ht="21.75" hidden="false" customHeight="true" outlineLevel="0" collapsed="false">
      <c r="A12" s="9" t="s">
        <v>31</v>
      </c>
      <c r="B12" s="9" t="s">
        <v>165</v>
      </c>
      <c r="C12" s="46" t="s">
        <v>166</v>
      </c>
      <c r="D12" s="9" t="s">
        <v>167</v>
      </c>
    </row>
    <row r="13" customFormat="false" ht="21.75" hidden="false" customHeight="true" outlineLevel="0" collapsed="false">
      <c r="A13" s="9" t="s">
        <v>168</v>
      </c>
      <c r="B13" s="9" t="s">
        <v>88</v>
      </c>
      <c r="C13" s="46" t="s">
        <v>169</v>
      </c>
      <c r="D13" s="9" t="s">
        <v>170</v>
      </c>
    </row>
    <row r="14" customFormat="false" ht="21.75" hidden="false" customHeight="true" outlineLevel="0" collapsed="false">
      <c r="A14" s="9" t="s">
        <v>92</v>
      </c>
      <c r="B14" s="9" t="s">
        <v>171</v>
      </c>
      <c r="C14" s="46" t="s">
        <v>172</v>
      </c>
      <c r="D14" s="9" t="s">
        <v>173</v>
      </c>
    </row>
    <row r="15" customFormat="false" ht="21.75" hidden="false" customHeight="true" outlineLevel="0" collapsed="false">
      <c r="A15" s="9" t="s">
        <v>92</v>
      </c>
      <c r="B15" s="9" t="s">
        <v>174</v>
      </c>
      <c r="C15" s="46" t="s">
        <v>175</v>
      </c>
      <c r="D15" s="9" t="s">
        <v>176</v>
      </c>
    </row>
    <row r="16" customFormat="false" ht="21.75" hidden="false" customHeight="true" outlineLevel="0" collapsed="false">
      <c r="A16" s="9" t="s">
        <v>177</v>
      </c>
      <c r="B16" s="9" t="s">
        <v>178</v>
      </c>
      <c r="C16" s="46" t="s">
        <v>179</v>
      </c>
      <c r="D16" s="9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6"/>
  </cols>
  <sheetData>
    <row r="1" customFormat="false" ht="19.7" hidden="false" customHeight="false" outlineLevel="0" collapsed="false">
      <c r="A1" s="1" t="s">
        <v>181</v>
      </c>
    </row>
    <row r="2" customFormat="false" ht="30" hidden="false" customHeight="true" outlineLevel="0" collapsed="false">
      <c r="A2" s="2" t="s">
        <v>182</v>
      </c>
      <c r="B2" s="2"/>
      <c r="C2" s="2"/>
      <c r="D2" s="2"/>
      <c r="E2" s="2"/>
    </row>
    <row r="4" customFormat="false" ht="15" hidden="false" customHeight="false" outlineLevel="0" collapsed="false">
      <c r="A4" s="7" t="s">
        <v>183</v>
      </c>
      <c r="B4" s="7" t="s">
        <v>184</v>
      </c>
      <c r="C4" s="7" t="s">
        <v>185</v>
      </c>
      <c r="D4" s="7" t="s">
        <v>186</v>
      </c>
      <c r="E4" s="7" t="s">
        <v>187</v>
      </c>
    </row>
    <row r="5" customFormat="false" ht="19.5" hidden="false" customHeight="true" outlineLevel="0" collapsed="false">
      <c r="A5" s="47" t="s">
        <v>188</v>
      </c>
      <c r="B5" s="10" t="s">
        <v>189</v>
      </c>
      <c r="C5" s="10" t="s">
        <v>20</v>
      </c>
      <c r="D5" s="9" t="s">
        <v>190</v>
      </c>
      <c r="E5" s="9" t="s">
        <v>191</v>
      </c>
    </row>
    <row r="6" customFormat="false" ht="19.5" hidden="false" customHeight="true" outlineLevel="0" collapsed="false">
      <c r="A6" s="48" t="s">
        <v>192</v>
      </c>
      <c r="B6" s="10" t="s">
        <v>30</v>
      </c>
      <c r="C6" s="10" t="s">
        <v>25</v>
      </c>
      <c r="D6" s="9" t="s">
        <v>190</v>
      </c>
      <c r="E6" s="9" t="s">
        <v>193</v>
      </c>
    </row>
    <row r="7" customFormat="false" ht="19.5" hidden="false" customHeight="true" outlineLevel="0" collapsed="false">
      <c r="A7" s="49" t="s">
        <v>194</v>
      </c>
      <c r="B7" s="10" t="s">
        <v>34</v>
      </c>
      <c r="C7" s="10" t="s">
        <v>30</v>
      </c>
      <c r="D7" s="9" t="s">
        <v>190</v>
      </c>
      <c r="E7" s="9"/>
    </row>
    <row r="8" customFormat="false" ht="19.5" hidden="false" customHeight="true" outlineLevel="0" collapsed="false">
      <c r="A8" s="50" t="s">
        <v>195</v>
      </c>
      <c r="B8" s="10" t="s">
        <v>38</v>
      </c>
      <c r="C8" s="10" t="s">
        <v>34</v>
      </c>
      <c r="D8" s="9" t="s">
        <v>196</v>
      </c>
      <c r="E8" s="9" t="s">
        <v>197</v>
      </c>
    </row>
    <row r="9" customFormat="false" ht="19.5" hidden="false" customHeight="true" outlineLevel="0" collapsed="false">
      <c r="A9" s="51" t="s">
        <v>198</v>
      </c>
      <c r="B9" s="10" t="s">
        <v>45</v>
      </c>
      <c r="C9" s="10" t="s">
        <v>38</v>
      </c>
      <c r="D9" s="9" t="s">
        <v>196</v>
      </c>
      <c r="E9" s="9"/>
    </row>
    <row r="10" customFormat="false" ht="19.5" hidden="false" customHeight="true" outlineLevel="0" collapsed="false">
      <c r="A10" s="52" t="s">
        <v>199</v>
      </c>
      <c r="B10" s="10" t="s">
        <v>200</v>
      </c>
      <c r="C10" s="10" t="s">
        <v>45</v>
      </c>
      <c r="D10" s="9" t="s">
        <v>196</v>
      </c>
      <c r="E10" s="9"/>
    </row>
    <row r="11" customFormat="false" ht="19.5" hidden="false" customHeight="true" outlineLevel="0" collapsed="false">
      <c r="A11" s="53" t="s">
        <v>201</v>
      </c>
      <c r="B11" s="10" t="s">
        <v>202</v>
      </c>
      <c r="C11" s="10" t="s">
        <v>200</v>
      </c>
      <c r="D11" s="9" t="s">
        <v>196</v>
      </c>
      <c r="E11" s="9" t="s">
        <v>203</v>
      </c>
    </row>
    <row r="12" customFormat="false" ht="19.5" hidden="false" customHeight="true" outlineLevel="0" collapsed="false">
      <c r="A12" s="54" t="s">
        <v>204</v>
      </c>
      <c r="B12" s="10" t="s">
        <v>205</v>
      </c>
      <c r="C12" s="10" t="s">
        <v>206</v>
      </c>
      <c r="D12" s="9" t="s">
        <v>207</v>
      </c>
      <c r="E12" s="9" t="s">
        <v>208</v>
      </c>
    </row>
    <row r="13" customFormat="false" ht="19.5" hidden="false" customHeight="true" outlineLevel="0" collapsed="false">
      <c r="A13" s="55" t="s">
        <v>209</v>
      </c>
      <c r="B13" s="10" t="s">
        <v>210</v>
      </c>
      <c r="C13" s="10" t="s">
        <v>206</v>
      </c>
      <c r="D13" s="9" t="s">
        <v>207</v>
      </c>
      <c r="E13" s="9" t="s">
        <v>211</v>
      </c>
    </row>
    <row r="15" customFormat="false" ht="15" hidden="false" customHeight="false" outlineLevel="0" collapsed="false">
      <c r="A15" s="5" t="s">
        <v>212</v>
      </c>
      <c r="B15" s="6"/>
      <c r="C15" s="6"/>
      <c r="D15" s="6"/>
      <c r="E15" s="6"/>
    </row>
    <row r="16" customFormat="false" ht="15" hidden="false" customHeight="false" outlineLevel="0" collapsed="false">
      <c r="A16" s="7" t="s">
        <v>213</v>
      </c>
      <c r="B16" s="7" t="s">
        <v>214</v>
      </c>
      <c r="C16" s="7" t="s">
        <v>215</v>
      </c>
    </row>
    <row r="17" customFormat="false" ht="19.5" hidden="false" customHeight="true" outlineLevel="0" collapsed="false">
      <c r="A17" s="9" t="s">
        <v>216</v>
      </c>
      <c r="B17" s="9" t="s">
        <v>217</v>
      </c>
      <c r="C17" s="10" t="s">
        <v>20</v>
      </c>
    </row>
    <row r="18" customFormat="false" ht="19.5" hidden="false" customHeight="true" outlineLevel="0" collapsed="false">
      <c r="A18" s="9" t="s">
        <v>218</v>
      </c>
      <c r="B18" s="9" t="s">
        <v>219</v>
      </c>
      <c r="C18" s="10" t="s">
        <v>25</v>
      </c>
    </row>
    <row r="19" customFormat="false" ht="19.5" hidden="false" customHeight="true" outlineLevel="0" collapsed="false">
      <c r="A19" s="9" t="s">
        <v>220</v>
      </c>
      <c r="B19" s="9" t="s">
        <v>221</v>
      </c>
      <c r="C19" s="10" t="s">
        <v>222</v>
      </c>
    </row>
    <row r="20" customFormat="false" ht="19.5" hidden="false" customHeight="true" outlineLevel="0" collapsed="false">
      <c r="A20" s="9" t="s">
        <v>223</v>
      </c>
      <c r="B20" s="9" t="s">
        <v>224</v>
      </c>
      <c r="C20" s="10" t="s">
        <v>225</v>
      </c>
    </row>
    <row r="21" customFormat="false" ht="19.5" hidden="false" customHeight="true" outlineLevel="0" collapsed="false">
      <c r="A21" s="9" t="s">
        <v>226</v>
      </c>
      <c r="B21" s="9" t="s">
        <v>227</v>
      </c>
      <c r="C21" s="10" t="s">
        <v>190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44"/>
  </cols>
  <sheetData>
    <row r="1" customFormat="false" ht="19.7" hidden="false" customHeight="false" outlineLevel="0" collapsed="false">
      <c r="A1" s="1" t="s">
        <v>228</v>
      </c>
    </row>
    <row r="2" customFormat="false" ht="30" hidden="false" customHeight="true" outlineLevel="0" collapsed="false">
      <c r="A2" s="2" t="s">
        <v>229</v>
      </c>
      <c r="B2" s="2"/>
      <c r="C2" s="2"/>
    </row>
    <row r="4" customFormat="false" ht="15" hidden="false" customHeight="false" outlineLevel="0" collapsed="false">
      <c r="A4" s="7" t="s">
        <v>230</v>
      </c>
      <c r="B4" s="7" t="s">
        <v>231</v>
      </c>
      <c r="C4" s="7" t="s">
        <v>232</v>
      </c>
    </row>
    <row r="5" customFormat="false" ht="30" hidden="false" customHeight="true" outlineLevel="0" collapsed="false">
      <c r="A5" s="56" t="s">
        <v>233</v>
      </c>
      <c r="B5" s="9" t="s">
        <v>234</v>
      </c>
      <c r="C5" s="9" t="s">
        <v>235</v>
      </c>
    </row>
    <row r="6" customFormat="false" ht="30" hidden="false" customHeight="true" outlineLevel="0" collapsed="false">
      <c r="A6" s="56" t="s">
        <v>236</v>
      </c>
      <c r="B6" s="9" t="s">
        <v>237</v>
      </c>
      <c r="C6" s="9" t="s">
        <v>238</v>
      </c>
    </row>
    <row r="7" customFormat="false" ht="30" hidden="false" customHeight="true" outlineLevel="0" collapsed="false">
      <c r="A7" s="56" t="s">
        <v>239</v>
      </c>
      <c r="B7" s="9" t="s">
        <v>240</v>
      </c>
      <c r="C7" s="9" t="s">
        <v>241</v>
      </c>
    </row>
    <row r="8" customFormat="false" ht="30" hidden="false" customHeight="true" outlineLevel="0" collapsed="false">
      <c r="A8" s="56" t="s">
        <v>242</v>
      </c>
      <c r="B8" s="9" t="s">
        <v>243</v>
      </c>
      <c r="C8" s="9" t="s">
        <v>241</v>
      </c>
    </row>
    <row r="9" customFormat="false" ht="30" hidden="false" customHeight="true" outlineLevel="0" collapsed="false">
      <c r="A9" s="56" t="s">
        <v>244</v>
      </c>
      <c r="B9" s="9" t="s">
        <v>245</v>
      </c>
      <c r="C9" s="9" t="s">
        <v>246</v>
      </c>
    </row>
    <row r="10" customFormat="false" ht="30" hidden="false" customHeight="true" outlineLevel="0" collapsed="false">
      <c r="A10" s="56" t="s">
        <v>247</v>
      </c>
      <c r="B10" s="9" t="s">
        <v>248</v>
      </c>
      <c r="C10" s="9" t="s">
        <v>249</v>
      </c>
    </row>
    <row r="11" customFormat="false" ht="30" hidden="false" customHeight="true" outlineLevel="0" collapsed="false">
      <c r="A11" s="56" t="s">
        <v>250</v>
      </c>
      <c r="B11" s="9" t="s">
        <v>251</v>
      </c>
      <c r="C11" s="9" t="s">
        <v>252</v>
      </c>
    </row>
    <row r="12" customFormat="false" ht="30" hidden="false" customHeight="true" outlineLevel="0" collapsed="false">
      <c r="A12" s="56" t="s">
        <v>253</v>
      </c>
      <c r="B12" s="9" t="s">
        <v>254</v>
      </c>
      <c r="C12" s="9" t="s">
        <v>255</v>
      </c>
    </row>
    <row r="13" customFormat="false" ht="30" hidden="false" customHeight="true" outlineLevel="0" collapsed="false">
      <c r="A13" s="56" t="s">
        <v>256</v>
      </c>
      <c r="B13" s="9" t="s">
        <v>257</v>
      </c>
      <c r="C13" s="9" t="s">
        <v>258</v>
      </c>
    </row>
    <row r="14" customFormat="false" ht="30" hidden="false" customHeight="true" outlineLevel="0" collapsed="false">
      <c r="A14" s="56" t="s">
        <v>259</v>
      </c>
      <c r="B14" s="9" t="s">
        <v>260</v>
      </c>
      <c r="C14" s="9" t="s">
        <v>261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9"/>
  </cols>
  <sheetData>
    <row r="1" customFormat="false" ht="19.7" hidden="false" customHeight="false" outlineLevel="0" collapsed="false">
      <c r="A1" s="1" t="s">
        <v>262</v>
      </c>
    </row>
    <row r="2" customFormat="false" ht="30" hidden="false" customHeight="true" outlineLevel="0" collapsed="false">
      <c r="A2" s="2" t="s">
        <v>263</v>
      </c>
      <c r="B2" s="2"/>
      <c r="C2" s="2"/>
      <c r="D2" s="2"/>
      <c r="E2" s="2"/>
      <c r="F2" s="2"/>
      <c r="G2" s="2"/>
      <c r="H2" s="2"/>
      <c r="I2" s="2"/>
    </row>
    <row r="4" customFormat="false" ht="43.5" hidden="false" customHeight="true" outlineLevel="0" collapsed="false">
      <c r="A4" s="7" t="s">
        <v>11</v>
      </c>
      <c r="B4" s="7" t="s">
        <v>264</v>
      </c>
      <c r="C4" s="7" t="s">
        <v>265</v>
      </c>
      <c r="D4" s="7" t="s">
        <v>266</v>
      </c>
      <c r="E4" s="7" t="s">
        <v>265</v>
      </c>
      <c r="F4" s="7" t="s">
        <v>267</v>
      </c>
      <c r="G4" s="7" t="s">
        <v>265</v>
      </c>
      <c r="H4" s="7" t="s">
        <v>268</v>
      </c>
      <c r="I4" s="7" t="s">
        <v>265</v>
      </c>
    </row>
    <row r="5" customFormat="false" ht="15" hidden="false" customHeight="false" outlineLevel="0" collapsed="false">
      <c r="A5" s="8" t="s">
        <v>16</v>
      </c>
      <c r="B5" s="57"/>
      <c r="C5" s="58" t="str">
        <f aca="false">IF($B$12=0,"",B5/$B$12)</f>
        <v/>
      </c>
      <c r="D5" s="57"/>
      <c r="E5" s="58" t="str">
        <f aca="false">IF($D$12=0,"",D5/$D$12)</f>
        <v/>
      </c>
      <c r="F5" s="57"/>
      <c r="G5" s="58" t="str">
        <f aca="false">IF($F$12=0,"",F5/$F$12)</f>
        <v/>
      </c>
      <c r="H5" s="57"/>
      <c r="I5" s="58" t="str">
        <f aca="false">IF($H$12=0,"",H5/$H$12)</f>
        <v/>
      </c>
    </row>
    <row r="6" customFormat="false" ht="15" hidden="false" customHeight="false" outlineLevel="0" collapsed="false">
      <c r="A6" s="11" t="s">
        <v>21</v>
      </c>
      <c r="B6" s="57"/>
      <c r="C6" s="58" t="str">
        <f aca="false">IF($B$12=0,"",B6/$B$12)</f>
        <v/>
      </c>
      <c r="D6" s="57"/>
      <c r="E6" s="58" t="str">
        <f aca="false">IF($D$12=0,"",D6/$D$12)</f>
        <v/>
      </c>
      <c r="F6" s="57"/>
      <c r="G6" s="58" t="str">
        <f aca="false">IF($F$12=0,"",F6/$F$12)</f>
        <v/>
      </c>
      <c r="H6" s="57"/>
      <c r="I6" s="58" t="str">
        <f aca="false">IF($H$12=0,"",H6/$H$12)</f>
        <v/>
      </c>
    </row>
    <row r="7" customFormat="false" ht="15" hidden="false" customHeight="false" outlineLevel="0" collapsed="false">
      <c r="A7" s="12" t="s">
        <v>26</v>
      </c>
      <c r="B7" s="57"/>
      <c r="C7" s="58" t="str">
        <f aca="false">IF($B$12=0,"",B7/$B$12)</f>
        <v/>
      </c>
      <c r="D7" s="57"/>
      <c r="E7" s="58" t="str">
        <f aca="false">IF($D$12=0,"",D7/$D$12)</f>
        <v/>
      </c>
      <c r="F7" s="57"/>
      <c r="G7" s="58" t="str">
        <f aca="false">IF($F$12=0,"",F7/$F$12)</f>
        <v/>
      </c>
      <c r="H7" s="57"/>
      <c r="I7" s="58" t="str">
        <f aca="false">IF($H$12=0,"",H7/$H$12)</f>
        <v/>
      </c>
    </row>
    <row r="8" customFormat="false" ht="15" hidden="false" customHeight="false" outlineLevel="0" collapsed="false">
      <c r="A8" s="13" t="s">
        <v>31</v>
      </c>
      <c r="B8" s="57"/>
      <c r="C8" s="58" t="str">
        <f aca="false">IF($B$12=0,"",B8/$B$12)</f>
        <v/>
      </c>
      <c r="D8" s="57"/>
      <c r="E8" s="58" t="str">
        <f aca="false">IF($D$12=0,"",D8/$D$12)</f>
        <v/>
      </c>
      <c r="F8" s="57"/>
      <c r="G8" s="58" t="str">
        <f aca="false">IF($F$12=0,"",F8/$F$12)</f>
        <v/>
      </c>
      <c r="H8" s="57"/>
      <c r="I8" s="58" t="str">
        <f aca="false">IF($H$12=0,"",H8/$H$12)</f>
        <v/>
      </c>
    </row>
    <row r="9" customFormat="false" ht="15" hidden="false" customHeight="false" outlineLevel="0" collapsed="false">
      <c r="A9" s="14" t="s">
        <v>35</v>
      </c>
      <c r="B9" s="57"/>
      <c r="C9" s="58" t="str">
        <f aca="false">IF($B$12=0,"",B9/$B$12)</f>
        <v/>
      </c>
      <c r="D9" s="57"/>
      <c r="E9" s="58" t="str">
        <f aca="false">IF($D$12=0,"",D9/$D$12)</f>
        <v/>
      </c>
      <c r="F9" s="57"/>
      <c r="G9" s="58" t="str">
        <f aca="false">IF($F$12=0,"",F9/$F$12)</f>
        <v/>
      </c>
      <c r="H9" s="57"/>
      <c r="I9" s="58" t="str">
        <f aca="false">IF($H$12=0,"",H9/$H$12)</f>
        <v/>
      </c>
    </row>
    <row r="10" customFormat="false" ht="15" hidden="false" customHeight="false" outlineLevel="0" collapsed="false">
      <c r="A10" s="15" t="s">
        <v>39</v>
      </c>
      <c r="B10" s="57"/>
      <c r="C10" s="58" t="str">
        <f aca="false">IF($B$12=0,"",B10/$B$12)</f>
        <v/>
      </c>
      <c r="D10" s="57"/>
      <c r="E10" s="58" t="str">
        <f aca="false">IF($D$12=0,"",D10/$D$12)</f>
        <v/>
      </c>
      <c r="F10" s="57"/>
      <c r="G10" s="58" t="str">
        <f aca="false">IF($F$12=0,"",F10/$F$12)</f>
        <v/>
      </c>
      <c r="H10" s="57"/>
      <c r="I10" s="58" t="str">
        <f aca="false">IF($H$12=0,"",H10/$H$12)</f>
        <v/>
      </c>
    </row>
    <row r="11" customFormat="false" ht="15" hidden="false" customHeight="false" outlineLevel="0" collapsed="false">
      <c r="A11" s="16" t="s">
        <v>42</v>
      </c>
      <c r="B11" s="57"/>
      <c r="C11" s="58" t="str">
        <f aca="false">IF($B$12=0,"",B11/$B$12)</f>
        <v/>
      </c>
      <c r="D11" s="57"/>
      <c r="E11" s="58" t="str">
        <f aca="false">IF($D$12=0,"",D11/$D$12)</f>
        <v/>
      </c>
      <c r="F11" s="57"/>
      <c r="G11" s="58" t="str">
        <f aca="false">IF($F$12=0,"",F11/$F$12)</f>
        <v/>
      </c>
      <c r="H11" s="57"/>
      <c r="I11" s="58" t="str">
        <f aca="false">IF($H$12=0,"",H11/$H$12)</f>
        <v/>
      </c>
    </row>
    <row r="12" customFormat="false" ht="15" hidden="false" customHeight="false" outlineLevel="0" collapsed="false">
      <c r="A12" s="23" t="s">
        <v>269</v>
      </c>
      <c r="B12" s="59" t="n">
        <f aca="false">SUM(B5:B11)</f>
        <v>0</v>
      </c>
      <c r="D12" s="59" t="n">
        <f aca="false">SUM(D5:D11)</f>
        <v>0</v>
      </c>
      <c r="F12" s="59" t="n">
        <f aca="false">SUM(F5:F11)</f>
        <v>0</v>
      </c>
      <c r="H12" s="59" t="n">
        <f aca="false">SUM(H5:H11)</f>
        <v>0</v>
      </c>
    </row>
    <row r="13" customFormat="false" ht="15" hidden="false" customHeight="false" outlineLevel="0" collapsed="false">
      <c r="A13" s="60" t="s">
        <v>270</v>
      </c>
      <c r="B13" s="61"/>
      <c r="D13" s="61"/>
      <c r="F13" s="61"/>
      <c r="H13" s="61"/>
    </row>
    <row r="14" customFormat="false" ht="15" hidden="false" customHeight="false" outlineLevel="0" collapsed="false">
      <c r="A14" s="23" t="s">
        <v>271</v>
      </c>
      <c r="B14" s="62" t="str">
        <f aca="false">IF((B12+B13)=0,"",B12/(B12+B13))</f>
        <v/>
      </c>
      <c r="D14" s="62" t="str">
        <f aca="false">IF((D12+D13)=0,"",D12/(D12+D13))</f>
        <v/>
      </c>
      <c r="F14" s="62" t="str">
        <f aca="false">IF((F12+F13)=0,"",F12/(F12+F13))</f>
        <v/>
      </c>
      <c r="H14" s="62" t="str">
        <f aca="false">IF((H12+H13)=0,"",H12/(H12+H13))</f>
        <v/>
      </c>
    </row>
    <row r="16" customFormat="false" ht="15" hidden="false" customHeight="true" outlineLevel="0" collapsed="false">
      <c r="A16" s="2" t="s">
        <v>272</v>
      </c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true" outlineLevel="0" collapsed="false">
      <c r="A17" s="2" t="s">
        <v>273</v>
      </c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true" outlineLevel="0" collapsed="false">
      <c r="A18" s="2" t="s">
        <v>274</v>
      </c>
      <c r="B18" s="2"/>
      <c r="C18" s="2"/>
      <c r="D18" s="2"/>
      <c r="E18" s="2"/>
      <c r="F18" s="2"/>
      <c r="G18" s="2"/>
      <c r="H18" s="2"/>
      <c r="I18" s="2"/>
    </row>
  </sheetData>
  <mergeCells count="4">
    <mergeCell ref="A2:I2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2026-10-21T10:09:17Z</dcterms:created>
  <dc:creator>openpyxl</dc:creator>
  <dc:description/>
  <dc:language>en-GB</dc:language>
  <cp:lastModifiedBy/>
  <dcterms:modified xsi:type="dcterms:W3CDTF">2026-10-21T10:09:17Z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