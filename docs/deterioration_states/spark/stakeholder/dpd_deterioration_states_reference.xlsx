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4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Overview" sheetId="1" state="visible" r:id="rId3"/>
    <sheet name="How states are assigned" sheetId="2" state="visible" r:id="rId4"/>
    <sheet name="Worked examples" sheetId="3" state="visible" r:id="rId5"/>
    <sheet name="Thresholds" sheetId="4" state="visible" r:id="rId6"/>
    <sheet name="Buckets &amp; segments" sheetId="5" state="visible" r:id="rId7"/>
    <sheet name="Data handling" sheetId="6" state="visible" r:id="rId8"/>
    <sheet name="Results" sheetId="7" state="visible" r:id="rId9"/>
    <sheet name="What changed" sheetId="8" state="visible" r:id="rId10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<sst xmlns="http://schemas.openxmlformats.org/spreadsheetml/2006/main" count="469" uniqueCount="317">
  <si>
    <t xml:space="preserve">DPD deterioration states</t>
  </si>
  <si>
    <t xml:space="preserve">One of the persona axes: how a delinquent account got where it is, read only from its monthly DPD history. Every account in scope gets exactly one of seven states.</t>
  </si>
  <si>
    <t xml:space="preserve">Scope</t>
  </si>
  <si>
    <t xml:space="preserve">Credit cards (CC) and retail loans (RL) at 61–180 DPD and at 180+ DPD on the snapshot date (to be filled from the PROD run). Both segments use the same seven states.</t>
  </si>
  <si>
    <t xml:space="preserve">Input</t>
  </si>
  <si>
    <t xml:space="preserve">One DPD bucket per account per month. CC from Jan 2024 (older history has known data-quality issues); RL full history.</t>
  </si>
  <si>
    <t xml:space="preserve">How</t>
  </si>
  <si>
    <t xml:space="preserve">Six yes/no questions asked in a fixed order; the first 'yes' decides the state. See 'How states are assigned'.</t>
  </si>
  <si>
    <t xml:space="preserve">Over time</t>
  </si>
  <si>
    <t xml:space="preserve">Stabilized and EPD describe current behaviour and can change month to month. The others describe how the account fell in and stay fixed — except that any account can move into Stabilized.</t>
  </si>
  <si>
    <t xml:space="preserve">The seven states</t>
  </si>
  <si>
    <t xml:space="preserve">State</t>
  </si>
  <si>
    <t xml:space="preserve">In one sentence</t>
  </si>
  <si>
    <t xml:space="preserve">Typical action</t>
  </si>
  <si>
    <t xml:space="preserve">Changes over time?</t>
  </si>
  <si>
    <t xml:space="preserve">Decided at step</t>
  </si>
  <si>
    <t xml:space="preserve">Unknown — start of the delinquency journey not observed</t>
  </si>
  <si>
    <t xml:space="preserve">We cannot see how the account fell into delinquency: the oldest month we hold is already overdue.</t>
  </si>
  <si>
    <t xml:space="preserve">Treat on current behaviour and the other persona axes only.</t>
  </si>
  <si>
    <t xml:space="preserve">Fixed</t>
  </si>
  <si>
    <t xml:space="preserve">0</t>
  </si>
  <si>
    <t xml:space="preserve">Early payment default (EPD)</t>
  </si>
  <si>
    <t xml:space="preserve">Fell behind within its first 3 months on book and has never paid since — still getting worse every month.</t>
  </si>
  <si>
    <t xml:space="preserve">Early-risk / first-party fraud review, early legal; no restructuring.</t>
  </si>
  <si>
    <t xml:space="preserve">Current — ends the month the customer pays</t>
  </si>
  <si>
    <t xml:space="preserve">1</t>
  </si>
  <si>
    <t xml:space="preserve">Stabilized</t>
  </si>
  <si>
    <t xml:space="preserve">Paying about one month's due each month: the DPD bucket has stopped climbing. Only possible up to 151–180 DPD.</t>
  </si>
  <si>
    <t xml:space="preserve">Offer restructuring to break the hardship.</t>
  </si>
  <si>
    <t xml:space="preserve">Current — re-read every month</t>
  </si>
  <si>
    <t xml:space="preserve">2</t>
  </si>
  <si>
    <t xml:space="preserve">Repeat delinquent (re-default)</t>
  </si>
  <si>
    <t xml:space="preserve">Was 31+ DPD before, caught up, and fell back in within 12 months.</t>
  </si>
  <si>
    <t xml:space="preserve">Has shown they can catch up: firm promise-based plan; credibility decides the pressure.</t>
  </si>
  <si>
    <t xml:space="preserve">3</t>
  </si>
  <si>
    <t xml:space="preserve">Seasoned straight roller</t>
  </si>
  <si>
    <t xml:space="preserve">On book 12+ months, then missed every payment straight from current to 61+ DPD.</t>
  </si>
  <si>
    <t xml:space="preserve">Life event: read with the other axes (departed / income shock / won't pay); most likely to respond to a hardship route.</t>
  </si>
  <si>
    <t xml:space="preserve">4</t>
  </si>
  <si>
    <t xml:space="preserve">Early-life straight roller</t>
  </si>
  <si>
    <t xml:space="preserve">Same straight roll, but in the first 12 months on book (after the EPD window).</t>
  </si>
  <si>
    <t xml:space="preserve">Same triage as seasoned; also an underwriting signal for acquisition.</t>
  </si>
  <si>
    <t xml:space="preserve">Slow roller (partial payer)</t>
  </si>
  <si>
    <t xml:space="preserve">Paid something on the way down to 61+ DPD but kept rolling.</t>
  </si>
  <si>
    <t xml:space="preserve">Over-indebted: longer-tenor restructure or settlement.</t>
  </si>
  <si>
    <t xml:space="preserve">5</t>
  </si>
  <si>
    <t xml:space="preserve">Shares by product and segment: see 'Results'. Thresholds: see 'Thresholds'.</t>
  </si>
  <si>
    <t xml:space="preserve">How states are assigned</t>
  </si>
  <si>
    <t xml:space="preserve">Questions are asked top to bottom. The first 'yes' decides the state, so every account lands in exactly one state. Read the flow first, then the exact tests.</t>
  </si>
  <si>
    <t xml:space="preserve">The flow</t>
  </si>
  <si>
    <t xml:space="preserve">Step 0</t>
  </si>
  <si>
    <t xml:space="preserve">Can we see how the account fell in?</t>
  </si>
  <si>
    <t xml:space="preserve">yes  ▶</t>
  </si>
  <si>
    <t xml:space="preserve">Unknown  (or Stabilized, if the Step 2 test passes)</t>
  </si>
  <si>
    <t xml:space="preserve">no  ▼</t>
  </si>
  <si>
    <t xml:space="preserve">Step 1</t>
  </si>
  <si>
    <t xml:space="preserve">Early payment default?</t>
  </si>
  <si>
    <t xml:space="preserve">Step 2</t>
  </si>
  <si>
    <t xml:space="preserve">Stabilized?</t>
  </si>
  <si>
    <t xml:space="preserve">Step 3</t>
  </si>
  <si>
    <t xml:space="preserve">Repeat delinquent?</t>
  </si>
  <si>
    <t xml:space="preserve">Step 4</t>
  </si>
  <si>
    <t xml:space="preserve">Straight roller?</t>
  </si>
  <si>
    <t xml:space="preserve">Seasoned straight roller  (12+ months on book)</t>
  </si>
  <si>
    <t xml:space="preserve">Early-life straight roller  (&lt; 12 months)</t>
  </si>
  <si>
    <t xml:space="preserve">Step 5</t>
  </si>
  <si>
    <t xml:space="preserve">Otherwise</t>
  </si>
  <si>
    <t xml:space="preserve">▶</t>
  </si>
  <si>
    <t xml:space="preserve">The exact tests</t>
  </si>
  <si>
    <t xml:space="preserve">Step</t>
  </si>
  <si>
    <t xml:space="preserve">Question</t>
  </si>
  <si>
    <t xml:space="preserve">State if yes</t>
  </si>
  <si>
    <t xml:space="preserve">Exact test</t>
  </si>
  <si>
    <t xml:space="preserve">Why at this point</t>
  </si>
  <si>
    <t xml:space="preserve">If the OLDEST month we hold is already 1+ DPD, the start of this delinquency is not visible (CC history before Jan 2024 is not used; migrated, restructured or missing history). Such an account is Stabilized if the Step 2 test passes, otherwise Unknown.</t>
  </si>
  <si>
    <t xml:space="preserve">Every later step needs the start of the journey; Stabilized needs only the last 6 months.</t>
  </si>
  <si>
    <t xml:space="preserve">All of: at most 3 months on book before first falling 1+ DPD (one short slip that was paid off is allowed); no earlier delinquency; and NOT ONE payment since — every month one bucket worse (months held at the ceiling bucket, CC 210+ / RL 180+, do not count as payments).</t>
  </si>
  <si>
    <t xml:space="preserve">Checked before Stabilized so a brand-new non-payer is never read as stable.</t>
  </si>
  <si>
    <t xml:space="preserve">Today at most 151–180 DPD (CC bucket ≤ 7, RL ≤ 6) — never in 180+ — AND either 5 of the last 6 months within one bucket of today's, or 6+ months since first reaching 61+ DPD and at most 1 bucket higher than 6 months ago.</t>
  </si>
  <si>
    <t xml:space="preserve">Current behaviour wins over how the account fell in: it points to the action.</t>
  </si>
  <si>
    <t xml:space="preserve">An earlier delinquency reached 31+ DPD, was cured, and ended at most 12 months before this one started.</t>
  </si>
  <si>
    <t xml:space="preserve">Recent recovery is stronger evidence than the shape of the latest fall.</t>
  </si>
  <si>
    <t xml:space="preserve">Went 1–30 → 31–60 → 61–90 DPD in consecutive months (no payment on the way). Seasoned if on book 12+ months before the fall, or if its history starts before Jan 2024 (so it is older than that); otherwise Early-life.</t>
  </si>
  <si>
    <t xml:space="preserve">Splits by tenure because the action differs (life event vs underwriting).</t>
  </si>
  <si>
    <t xml:space="preserve">Paid at least once on the way down to 61+ DPD but kept rolling.</t>
  </si>
  <si>
    <t xml:space="preserve">Everything left: no account is unclassified.</t>
  </si>
  <si>
    <t xml:space="preserve">Terms used above</t>
  </si>
  <si>
    <t xml:space="preserve">DPD bucket</t>
  </si>
  <si>
    <t xml:space="preserve">The account's days-past-due band at month end (see 'Buckets &amp; segments'). One value per month is all the states use.</t>
  </si>
  <si>
    <t xml:space="preserve">Delinquency (spell)</t>
  </si>
  <si>
    <t xml:space="preserve">A continuous run of months at 1+ DPD. The current spell is the one the account is in today.</t>
  </si>
  <si>
    <t xml:space="preserve">Short slip (blip)</t>
  </si>
  <si>
    <t xml:space="preserve">An earlier 1–2 month spell that never passed 1–30 DPD and was paid off. It is not counted as an earlier delinquency.</t>
  </si>
  <si>
    <t xml:space="preserve">Month-to-month reading</t>
  </si>
  <si>
    <t xml:space="preserve">One bucket worse = nothing paid (roll). Same bucket = one month's due paid (hold). Better = two or more months paid.</t>
  </si>
  <si>
    <t xml:space="preserve">Months on book before the spell</t>
  </si>
  <si>
    <t xml:space="preserve">Months of history before the current spell started.</t>
  </si>
  <si>
    <t xml:space="preserve">Ceiling bucket</t>
  </si>
  <si>
    <t xml:space="preserve">The highest bucket: CC 210+ DPD, RL 180+ DPD. It cannot rise, so staying there is not a payment.</t>
  </si>
  <si>
    <t xml:space="preserve">Cropped history</t>
  </si>
  <si>
    <t xml:space="preserve">Older months exist but are not used (CC before Jan 2024; a long gap in the data). A cropped account is never EPD and counts as seasoned.</t>
  </si>
  <si>
    <t xml:space="preserve">Worked examples</t>
  </si>
  <si>
    <t xml:space="preserve">Each row is one account's monthly DPD bucket, oldest on the left, this month on the right. Every example is run through the production rules when this workbook is built.</t>
  </si>
  <si>
    <t xml:space="preserve">Bucket colours (CC numbering)</t>
  </si>
  <si>
    <t xml:space="preserve">0/1: 0 DPD</t>
  </si>
  <si>
    <t xml:space="preserve">2: 1–30</t>
  </si>
  <si>
    <t xml:space="preserve">3: 31–60</t>
  </si>
  <si>
    <t xml:space="preserve">4: 61–90</t>
  </si>
  <si>
    <t xml:space="preserve">5: 91–120</t>
  </si>
  <si>
    <t xml:space="preserve">6: 121–150</t>
  </si>
  <si>
    <t xml:space="preserve">7: 151–180</t>
  </si>
  <si>
    <t xml:space="preserve">8: 181–210</t>
  </si>
  <si>
    <t xml:space="preserve">9: 210+</t>
  </si>
  <si>
    <t xml:space="preserve">Product</t>
  </si>
  <si>
    <t xml:space="preserve">-17</t>
  </si>
  <si>
    <t xml:space="preserve">-16</t>
  </si>
  <si>
    <t xml:space="preserve">-15</t>
  </si>
  <si>
    <t xml:space="preserve">-14</t>
  </si>
  <si>
    <t xml:space="preserve">-13</t>
  </si>
  <si>
    <t xml:space="preserve">-12</t>
  </si>
  <si>
    <t xml:space="preserve">-11</t>
  </si>
  <si>
    <t xml:space="preserve">-10</t>
  </si>
  <si>
    <t xml:space="preserve">-9</t>
  </si>
  <si>
    <t xml:space="preserve">-8</t>
  </si>
  <si>
    <t xml:space="preserve">-7</t>
  </si>
  <si>
    <t xml:space="preserve">-6</t>
  </si>
  <si>
    <t xml:space="preserve">-5</t>
  </si>
  <si>
    <t xml:space="preserve">-4</t>
  </si>
  <si>
    <t xml:space="preserve">-3</t>
  </si>
  <si>
    <t xml:space="preserve">-2</t>
  </si>
  <si>
    <t xml:space="preserve">-1</t>
  </si>
  <si>
    <t xml:space="preserve">Now</t>
  </si>
  <si>
    <t xml:space="preserve">Why</t>
  </si>
  <si>
    <t xml:space="preserve">CC</t>
  </si>
  <si>
    <t xml:space="preserve">·</t>
  </si>
  <si>
    <t xml:space="preserve">3 clean months, then one bucket worse every month: never paid.</t>
  </si>
  <si>
    <t xml:space="preserve">Same story at 180+: the months held at the ceiling (9 9 9) are not payments.</t>
  </si>
  <si>
    <t xml:space="preserve">Holding at 91–120 DPD for 5 months: paying about one month's due.</t>
  </si>
  <si>
    <t xml:space="preserve">Swings between 61–90 and 151–180 DPD but no worse than 6 months ago: pays on average. (8 earlier months not shown.)</t>
  </si>
  <si>
    <t xml:space="preserve">0 → 2</t>
  </si>
  <si>
    <t xml:space="preserve">Journey start not visible (delinquent since before Jan 2024), but clearly holding. Older history exists but is not used.</t>
  </si>
  <si>
    <t xml:space="preserve">Reached 61–90 DPD, caught up fully, fell back in 8 months later.</t>
  </si>
  <si>
    <t xml:space="preserve">14 clean months, then missed every payment.</t>
  </si>
  <si>
    <t xml:space="preserve">Looks short, but its history starts before Jan 2024: older than a year. Older history exists but is not used.</t>
  </si>
  <si>
    <t xml:space="preserve">6 clean months (past the EPD window), then a straight roll.</t>
  </si>
  <si>
    <t xml:space="preserve">Paid one month at 1–30 and at 31–60 DPD on the way down, still rolled.</t>
  </si>
  <si>
    <t xml:space="preserve">Holding at 181–210 DPD is NOT stabilized: Stabilized stops at 151–180 DPD. (6 earlier months not shown.)</t>
  </si>
  <si>
    <t xml:space="preserve">Already 121–150 DPD in the oldest month we hold: the fall is not visible. Older history exists but is not used.</t>
  </si>
  <si>
    <t xml:space="preserve">RL</t>
  </si>
  <si>
    <t xml:space="preserve">Retail loan, RL numbering (1 = 1–30 DPD): reads exactly like the CC case above.</t>
  </si>
  <si>
    <t xml:space="preserve">'·' = no history yet (account not open). RL buckets: 0 = 0 DPD, 1 = 1–30 … 6 = 151–180, 7 = 180+ — coloured like the CC bucket one higher.</t>
  </si>
  <si>
    <t xml:space="preserve">Thresholds</t>
  </si>
  <si>
    <t xml:space="preserve">The numbers behind the rules, as used by the pipeline. Business thresholds change only with the business owner. Editing a cell here does NOT change the pipeline.</t>
  </si>
  <si>
    <t xml:space="preserve">Applies to</t>
  </si>
  <si>
    <t xml:space="preserve">Threshold</t>
  </si>
  <si>
    <t xml:space="preserve">Value</t>
  </si>
  <si>
    <t xml:space="preserve">Unit</t>
  </si>
  <si>
    <t xml:space="preserve">Why this value</t>
  </si>
  <si>
    <t xml:space="preserve">Name in code</t>
  </si>
  <si>
    <t xml:space="preserve">Early payment default</t>
  </si>
  <si>
    <t xml:space="preserve">Months on book allowed before the first missed payment</t>
  </si>
  <si>
    <t xml:space="preserve">months</t>
  </si>
  <si>
    <t xml:space="preserve">A customer who never pays misses the 1st or 2nd bill: 2–3 clean months at most.</t>
  </si>
  <si>
    <t xml:space="preserve">epd_max_history</t>
  </si>
  <si>
    <t xml:space="preserve">Short paid-off slips allowed before the fall</t>
  </si>
  <si>
    <t xml:space="preserve">slips</t>
  </si>
  <si>
    <t xml:space="preserve">One brief slip that was paid off does not show good behaviour was ever established.</t>
  </si>
  <si>
    <t xml:space="preserve">epd_max_blips</t>
  </si>
  <si>
    <t xml:space="preserve">Straight roller</t>
  </si>
  <si>
    <t xml:space="preserve">Months from current to 61–90 DPD to count as a straight roll</t>
  </si>
  <si>
    <t xml:space="preserve">1–30 → 31–60 → 61–90 in consecutive months = no payment on the way.</t>
  </si>
  <si>
    <t xml:space="preserve">straight_max_runup</t>
  </si>
  <si>
    <t xml:space="preserve">Of the last 6 months, how many within one bucket of today's</t>
  </si>
  <si>
    <t xml:space="preserve">of 6</t>
  </si>
  <si>
    <t xml:space="preserve">The bank's existing stabilized rule.</t>
  </si>
  <si>
    <t xml:space="preserve">stabilized_min_in_band</t>
  </si>
  <si>
    <t xml:space="preserve">Long-run clause: months since first reaching 61+ DPD</t>
  </si>
  <si>
    <t xml:space="preserve">Gives an account two full up-down cycles before a plateau counts as stable.</t>
  </si>
  <si>
    <t xml:space="preserve">stabilized_long_run_months</t>
  </si>
  <si>
    <t xml:space="preserve">Long-run clause: at most this many buckets higher than 6 months ago</t>
  </si>
  <si>
    <t xml:space="preserve">bucket</t>
  </si>
  <si>
    <t xml:space="preserve">One bucket of drift is normal; more is still getting worse.</t>
  </si>
  <si>
    <t xml:space="preserve">stabilized_long_run_max_rise</t>
  </si>
  <si>
    <t xml:space="preserve">Highest bucket at which an account can be Stabilized</t>
  </si>
  <si>
    <t xml:space="preserve">CC 7 / RL 6</t>
  </si>
  <si>
    <t xml:space="preserve">151–180 DPD</t>
  </si>
  <si>
    <t xml:space="preserve">At 180+ staying in the same bucket is not evidence of payment.</t>
  </si>
  <si>
    <t xml:space="preserve">stabilized_max_bucket</t>
  </si>
  <si>
    <t xml:space="preserve">Repeat delinquent</t>
  </si>
  <si>
    <t xml:space="preserve">Depth the earlier delinquency must have reached</t>
  </si>
  <si>
    <t xml:space="preserve">31–60 DPD</t>
  </si>
  <si>
    <t xml:space="preserve">Cures from 61+ DPD are rare; 31+ DPD matches the bank's own re-default view.</t>
  </si>
  <si>
    <t xml:space="preserve">repeat_min_prior_peak</t>
  </si>
  <si>
    <t xml:space="preserve">Months between the earlier cure and the new fall</t>
  </si>
  <si>
    <t xml:space="preserve">The common re-default window.</t>
  </si>
  <si>
    <t xml:space="preserve">repeat_window_months</t>
  </si>
  <si>
    <t xml:space="preserve">Seasoned vs early-life</t>
  </si>
  <si>
    <t xml:space="preserve">Months on book before the fall to count as seasoned</t>
  </si>
  <si>
    <t xml:space="preserve">Standard first-year early-life window; EPD already takes the first 3 months.</t>
  </si>
  <si>
    <t xml:space="preserve">seasoned_min_months</t>
  </si>
  <si>
    <t xml:space="preserve">Data (CC only)</t>
  </si>
  <si>
    <t xml:space="preserve">Billing history used from</t>
  </si>
  <si>
    <t xml:space="preserve">Jan 2024</t>
  </si>
  <si>
    <t xml:space="preserve">date</t>
  </si>
  <si>
    <t xml:space="preserve">Older CC history has known data-quality issues (temporary).</t>
  </si>
  <si>
    <t xml:space="preserve">cc_history_floor_date</t>
  </si>
  <si>
    <t xml:space="preserve">Data</t>
  </si>
  <si>
    <t xml:space="preserve">Missing months filled by inference if the gap is at most</t>
  </si>
  <si>
    <t xml:space="preserve">Longer gaps: history starts after the gap (see 'Data handling').</t>
  </si>
  <si>
    <t xml:space="preserve">max_inferred_gap_months</t>
  </si>
  <si>
    <t xml:space="preserve">Buckets &amp; segments</t>
  </si>
  <si>
    <t xml:space="preserve">CC and RL number their buckets differently; the rules are the same once both are read as DPD bands.</t>
  </si>
  <si>
    <t xml:space="preserve">DPD band</t>
  </si>
  <si>
    <t xml:space="preserve">CC bucket</t>
  </si>
  <si>
    <t xml:space="preserve">RL bucket</t>
  </si>
  <si>
    <t xml:space="preserve">Segment</t>
  </si>
  <si>
    <t xml:space="preserve">Note</t>
  </si>
  <si>
    <t xml:space="preserve">0 DPD</t>
  </si>
  <si>
    <t xml:space="preserve">0 (no due) / 1 (current)</t>
  </si>
  <si>
    <t xml:space="preserve">—</t>
  </si>
  <si>
    <t xml:space="preserve">Clean.</t>
  </si>
  <si>
    <t xml:space="preserve">1–30 DPD</t>
  </si>
  <si>
    <t xml:space="preserve">Delinquency starts here.</t>
  </si>
  <si>
    <t xml:space="preserve">61–90 DPD</t>
  </si>
  <si>
    <t xml:space="preserve">61–180 DPD</t>
  </si>
  <si>
    <t xml:space="preserve">Spine starts here.</t>
  </si>
  <si>
    <t xml:space="preserve">91–120 DPD</t>
  </si>
  <si>
    <t xml:space="preserve">121–150 DPD</t>
  </si>
  <si>
    <t xml:space="preserve">6</t>
  </si>
  <si>
    <t xml:space="preserve">7</t>
  </si>
  <si>
    <t xml:space="preserve">Highest bucket at which Stabilized is possible.</t>
  </si>
  <si>
    <t xml:space="preserve">181–210 DPD</t>
  </si>
  <si>
    <t xml:space="preserve">8</t>
  </si>
  <si>
    <t xml:space="preserve">7 (ceiling)</t>
  </si>
  <si>
    <t xml:space="preserve">180+ DPD</t>
  </si>
  <si>
    <t xml:space="preserve">RL ceiling: RL 7 covers all of 180+.</t>
  </si>
  <si>
    <t xml:space="preserve">210+ DPD</t>
  </si>
  <si>
    <t xml:space="preserve">9 (ceiling)</t>
  </si>
  <si>
    <t xml:space="preserve">CC ceiling. Staying at the ceiling is not a payment.</t>
  </si>
  <si>
    <t xml:space="preserve">Reading one month to the next</t>
  </si>
  <si>
    <t xml:space="preserve">Bucket this month vs last</t>
  </si>
  <si>
    <t xml:space="preserve">Meaning</t>
  </si>
  <si>
    <t xml:space="preserve">Months' due paid</t>
  </si>
  <si>
    <t xml:space="preserve">One bucket worse</t>
  </si>
  <si>
    <t xml:space="preserve">Roll — nothing paid</t>
  </si>
  <si>
    <t xml:space="preserve">Same bucket (below the ceiling)</t>
  </si>
  <si>
    <t xml:space="preserve">Hold — one month's due paid</t>
  </si>
  <si>
    <t xml:space="preserve">k buckets better</t>
  </si>
  <si>
    <t xml:space="preserve">Paid k + 1 months at once</t>
  </si>
  <si>
    <t xml:space="preserve">k + 1</t>
  </si>
  <si>
    <t xml:space="preserve">Back to 0 DPD</t>
  </si>
  <si>
    <t xml:space="preserve">Cure — rare from 61+ DPD</t>
  </si>
  <si>
    <t xml:space="preserve">all</t>
  </si>
  <si>
    <t xml:space="preserve">Same bucket AT the ceiling</t>
  </si>
  <si>
    <t xml:space="preserve">Unknown — the bucket cannot rise; NOT a payment</t>
  </si>
  <si>
    <t xml:space="preserve">Data handling</t>
  </si>
  <si>
    <t xml:space="preserve">How the monthly history is prepared before the questions are asked. Nothing is dropped silently; every fix is counted per account.</t>
  </si>
  <si>
    <t xml:space="preserve">Situation</t>
  </si>
  <si>
    <t xml:space="preserve">What we do</t>
  </si>
  <si>
    <t xml:space="preserve">Effect on the states</t>
  </si>
  <si>
    <t xml:space="preserve">CC history before Jan 2024</t>
  </si>
  <si>
    <t xml:space="preserve">Not used (known data-quality issue, temporary).</t>
  </si>
  <si>
    <t xml:space="preserve">The account's history is 'cropped': never EPD; a straight roller counts as seasoned; if the oldest month we hold is overdue → Unknown (unless Stabilized).</t>
  </si>
  <si>
    <t xml:space="preserve">Two bills in one month, none in the next</t>
  </si>
  <si>
    <t xml:space="preserve">Billing-cycle shift: one bill is moved to the empty month.</t>
  </si>
  <si>
    <t xml:space="preserve">None — restores the true monthly sequence.</t>
  </si>
  <si>
    <t xml:space="preserve">A missing month between two equal buckets</t>
  </si>
  <si>
    <t xml:space="preserve">Filled with that bucket.</t>
  </si>
  <si>
    <t xml:space="preserve">None.</t>
  </si>
  <si>
    <t xml:space="preserve">A missing month where only a straight roll fits (3 _ 5)</t>
  </si>
  <si>
    <t xml:space="preserve">Filled as the roll (3 4 5).</t>
  </si>
  <si>
    <t xml:space="preserve">Other gaps of up to 2 months</t>
  </si>
  <si>
    <t xml:space="preserve">Filled: last known bucket carried, rising as late as possible.</t>
  </si>
  <si>
    <t xml:space="preserve">Can read as a payment (hold); counted per account.</t>
  </si>
  <si>
    <t xml:space="preserve">Longer gaps</t>
  </si>
  <si>
    <t xml:space="preserve">History starts after the gap.</t>
  </si>
  <si>
    <t xml:space="preserve">Treated like cropped history.</t>
  </si>
  <si>
    <t xml:space="preserve">Impossible one-month blips (4 0 4, 0 3 0)</t>
  </si>
  <si>
    <t xml:space="preserve">Corrected to the neighbours.</t>
  </si>
  <si>
    <t xml:space="preserve">Prevents a false cure or a false earlier delinquency.</t>
  </si>
  <si>
    <t xml:space="preserve">Billing-cycle jumps (3 3 5 / 3 5 5 for 3 4 5)</t>
  </si>
  <si>
    <t xml:space="preserve">Corrected to the straight roll.</t>
  </si>
  <si>
    <t xml:space="preserve">Prevents a false payment.</t>
  </si>
  <si>
    <t xml:space="preserve">No bucket on any row / no bill in the window</t>
  </si>
  <si>
    <t xml:space="preserve">Account kept with a status, not classified.</t>
  </si>
  <si>
    <t xml:space="preserve">Reported as lost coverage (target: 99.9% classified).</t>
  </si>
  <si>
    <t xml:space="preserve">Last month older than the snapshot</t>
  </si>
  <si>
    <t xml:space="preserve">Flagged (months stale).</t>
  </si>
  <si>
    <t xml:space="preserve">Classified on the history we have.</t>
  </si>
  <si>
    <t xml:space="preserve">Results</t>
  </si>
  <si>
    <t xml:space="preserve">Accounts per state (PROD run, snapshot to be filled from the PROD run). Blue numbers come from the PROD check (prod_check.report(catalog, save_json=...)); shares and coverage are formulas. Yellow = still to fill in.</t>
  </si>
  <si>
    <t xml:space="preserve">CC 61–180 DPD
accounts</t>
  </si>
  <si>
    <t xml:space="preserve">share</t>
  </si>
  <si>
    <t xml:space="preserve">CC 180+ DPD
accounts</t>
  </si>
  <si>
    <t xml:space="preserve">RL 61–180 DPD
accounts</t>
  </si>
  <si>
    <t xml:space="preserve">RL 180+ DPD
accounts</t>
  </si>
  <si>
    <t xml:space="preserve">Classified accounts</t>
  </si>
  <si>
    <t xml:space="preserve">In segment, not classified</t>
  </si>
  <si>
    <t xml:space="preserve">Coverage (target 99.9%)</t>
  </si>
  <si>
    <t xml:space="preserve">Stabilized cannot occur at 180+ by design (Stabilized stops at 151–180 DPD).</t>
  </si>
  <si>
    <t xml:space="preserve">Roll rates are not shown: measured on the same months that define a state they are circular (EPD rolls 100% by definition). Forward-looking outcomes come from the backtest.</t>
  </si>
  <si>
    <t xml:space="preserve">Aggregates only: no account ids, no DPD histories.</t>
  </si>
  <si>
    <t xml:space="preserve">What changed since the 16 Oct 2026 version</t>
  </si>
  <si>
    <t xml:space="preserve">Change</t>
  </si>
  <si>
    <t xml:space="preserve">Retail loans and the 180+ segment added, with the same seven states as CC 61–180.</t>
  </si>
  <si>
    <t xml:space="preserve">One vocabulary for every product and segment.</t>
  </si>
  <si>
    <t xml:space="preserve">'Not classified — history starts delinquent' is now 'Unknown' and also covers accounts already overdue in the oldest month we hold (e.g. delinquent since before Jan 2024).</t>
  </si>
  <si>
    <t xml:space="preserve">When the start of the journey is not visible, how the account fell in would be a guess.</t>
  </si>
  <si>
    <t xml:space="preserve">Stabilized only up to 151–180 DPD; never at 180+.</t>
  </si>
  <si>
    <t xml:space="preserve">Months held at the ceiling bucket (CC 210+, RL 180+) are not payments.</t>
  </si>
  <si>
    <t xml:space="preserve">Keeps EPD meaningful at 180+.</t>
  </si>
  <si>
    <t xml:space="preserve">The live 'Rule tester' sheet is replaced by worked examples computed by the production rules.</t>
  </si>
  <si>
    <t xml:space="preserve">The formulas were a second copy of the rules and had drifted (no Unknown, no 180+ rule).</t>
  </si>
  <si>
    <t xml:space="preserve">Roll rate removed from the results.</t>
  </si>
  <si>
    <t xml:space="preserve">It was measured on the same months that define the states (EPD = 100% by definition).</t>
  </si>
  <si>
    <t xml:space="preserve">Thresholds shown with plain names; parameter names kept in a side column.</t>
  </si>
  <si>
    <t xml:space="preserve">Readable for the business; traceable to the code.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</si>
</sst>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#,##0"/>
    <numFmt numFmtId="166" formatCode="0.0%"/>
    <numFmt numFmtId="167" formatCode="0.00%"/>
  </numFmts>
  <fonts count="2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F3864"/>
      <name val="Arial"/>
      <family val="0"/>
      <charset val="1"/>
    </font>
    <font>
      <i val="true"/>
      <sz val="10"/>
      <color rgb="FF595959"/>
      <name val="Arial"/>
      <family val="0"/>
      <charset val="1"/>
    </font>
    <font>
      <b val="true"/>
      <sz val="10"/>
      <color rgb="FF1F3864"/>
      <name val="Arial"/>
      <family val="0"/>
      <charset val="1"/>
    </font>
    <font>
      <sz val="10"/>
      <name val="Arial"/>
      <family val="0"/>
      <charset val="1"/>
    </font>
    <font>
      <b val="true"/>
      <sz val="12"/>
      <color rgb="FF1F3864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0"/>
      <color rgb="FF595959"/>
      <name val="Arial"/>
      <family val="0"/>
      <charset val="1"/>
    </font>
    <font>
      <sz val="10"/>
      <color rgb="FF595959"/>
      <name val="Arial"/>
      <family val="0"/>
      <charset val="1"/>
    </font>
    <font>
      <b val="true"/>
      <sz val="8"/>
      <color rgb="FF000000"/>
      <name val="Arial"/>
      <family val="0"/>
      <charset val="1"/>
    </font>
    <font>
      <b val="true"/>
      <sz val="8"/>
      <color rgb="FFFFFFFF"/>
      <name val="Arial"/>
      <family val="0"/>
      <charset val="1"/>
    </font>
    <font>
      <sz val="10"/>
      <color rgb="FFBFBFBF"/>
      <name val="Arial"/>
      <family val="0"/>
      <charset val="1"/>
    </font>
    <font>
      <sz val="10"/>
      <color rgb="FF000000"/>
      <name val="Arial"/>
      <family val="0"/>
      <charset val="1"/>
    </font>
    <font>
      <sz val="10"/>
      <color rgb="FFFFFFFF"/>
      <name val="Arial"/>
      <family val="0"/>
      <charset val="1"/>
    </font>
    <font>
      <sz val="8"/>
      <color rgb="FF595959"/>
      <name val="Arial"/>
      <family val="0"/>
      <charset val="1"/>
    </font>
    <font>
      <sz val="10"/>
      <color rgb="FF0000FF"/>
      <name val="Arial"/>
      <family val="0"/>
      <charset val="1"/>
    </font>
  </fonts>
  <fills count="20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A6A6A6"/>
        <bgColor rgb="FF8FAADC"/>
      </patternFill>
    </fill>
    <fill>
      <patternFill patternType="solid">
        <fgColor rgb="FFC00000"/>
        <bgColor rgb="FF800000"/>
      </patternFill>
    </fill>
    <fill>
      <patternFill patternType="solid">
        <fgColor rgb="FF548235"/>
        <bgColor rgb="FF339966"/>
      </patternFill>
    </fill>
    <fill>
      <patternFill patternType="solid">
        <fgColor rgb="FFC55A11"/>
        <bgColor rgb="FFED7D31"/>
      </patternFill>
    </fill>
    <fill>
      <patternFill patternType="solid">
        <fgColor rgb="FF2F5597"/>
        <bgColor rgb="FF1F3864"/>
      </patternFill>
    </fill>
    <fill>
      <patternFill patternType="solid">
        <fgColor rgb="FF8FAADC"/>
        <bgColor rgb="FFA6A6A6"/>
      </patternFill>
    </fill>
    <fill>
      <patternFill patternType="solid">
        <fgColor rgb="FF7030A0"/>
        <bgColor rgb="FF800080"/>
      </patternFill>
    </fill>
    <fill>
      <patternFill patternType="solid">
        <fgColor rgb="FFF2F2F2"/>
        <bgColor rgb="FFFFFFFF"/>
      </patternFill>
    </fill>
    <fill>
      <patternFill patternType="solid">
        <fgColor rgb="FFFFFFFF"/>
        <bgColor rgb="FFF2F2F2"/>
      </patternFill>
    </fill>
    <fill>
      <patternFill patternType="solid">
        <fgColor rgb="FFFFF2CC"/>
        <bgColor rgb="FFF2F2F2"/>
      </patternFill>
    </fill>
    <fill>
      <patternFill patternType="solid">
        <fgColor rgb="FFFFE699"/>
        <bgColor rgb="FFFFF2CC"/>
      </patternFill>
    </fill>
    <fill>
      <patternFill patternType="solid">
        <fgColor rgb="FFF8CBAD"/>
        <bgColor rgb="FFFFE699"/>
      </patternFill>
    </fill>
    <fill>
      <patternFill patternType="solid">
        <fgColor rgb="FFF4B183"/>
        <bgColor rgb="FFF8CBAD"/>
      </patternFill>
    </fill>
    <fill>
      <patternFill patternType="solid">
        <fgColor rgb="FFED7D31"/>
        <bgColor rgb="FFFF8080"/>
      </patternFill>
    </fill>
    <fill>
      <patternFill patternType="solid">
        <fgColor rgb="FF843C0C"/>
        <bgColor rgb="FF595959"/>
      </patternFill>
    </fill>
    <fill>
      <patternFill patternType="solid">
        <fgColor rgb="FF3B1A06"/>
        <bgColor rgb="FF333333"/>
      </patternFill>
    </fill>
    <fill>
      <patternFill patternType="solid">
        <fgColor rgb="FFFFFF00"/>
        <bgColor rgb="FFFFFF00"/>
      </patternFill>
    </fill>
  </fills>
  <borders count="4">
    <border diagonalUp="false" diagonalDown="false">
      <left/>
      <right/>
      <top/>
      <bottom/>
      <diagonal/>
    </border>
    <border diagonalUp="false" diagonalDown="false">
      <left/>
      <right/>
      <top/>
      <bottom style="medium">
        <color rgb="FF1F3864"/>
      </bottom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/>
      <right/>
      <top style="medium">
        <color rgb="FF1F3864"/>
      </top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3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7" fillId="0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4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9" fillId="5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9" fillId="6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9" fillId="7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0" fillId="8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9" fillId="9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1" fillId="10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2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3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1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11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1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1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14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15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16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6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17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18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11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1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1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14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15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15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8" fillId="16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8" fillId="6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8" fillId="17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8" fillId="18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18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14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17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9" fillId="0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11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12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13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14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15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16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6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17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18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20" fillId="19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1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20" fillId="19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548235"/>
      <rgbColor rgb="FF800080"/>
      <rgbColor rgb="FF008080"/>
      <rgbColor rgb="FFBFBFBF"/>
      <rgbColor rgb="FF808080"/>
      <rgbColor rgb="FF8FAADC"/>
      <rgbColor rgb="FF7030A0"/>
      <rgbColor rgb="FFFFF2CC"/>
      <rgbColor rgb="FFF2F2F2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E699"/>
      <rgbColor rgb="FF99CCFF"/>
      <rgbColor rgb="FFF4B183"/>
      <rgbColor rgb="FFCC99FF"/>
      <rgbColor rgb="FFF8CBAD"/>
      <rgbColor rgb="FF3366FF"/>
      <rgbColor rgb="FF33CCCC"/>
      <rgbColor rgb="FF99CC00"/>
      <rgbColor rgb="FFFFCC00"/>
      <rgbColor rgb="FFFF9900"/>
      <rgbColor rgb="FFED7D31"/>
      <rgbColor rgb="FF595959"/>
      <rgbColor rgb="FFA6A6A6"/>
      <rgbColor rgb="FF1F3864"/>
      <rgbColor rgb="FF339966"/>
      <rgbColor rgb="FF003300"/>
      <rgbColor rgb="FF3B1A06"/>
      <rgbColor rgb="FF843C0C"/>
      <rgbColor rgb="FFC55A11"/>
      <rgbColor rgb="FF2F5597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 pitchFamily="0" charset="1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19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58"/>
    <col collapsed="false" customWidth="true" hidden="false" outlineLevel="0" max="3" min="3" style="0" width="52"/>
    <col collapsed="false" customWidth="true" hidden="false" outlineLevel="0" max="4" min="4" style="0" width="24"/>
    <col collapsed="false" customWidth="true" hidden="false" outlineLevel="0" max="5" min="5" style="0" width="12"/>
  </cols>
  <sheetData>
    <row r="1" customFormat="false" ht="19.7" hidden="false" customHeight="false" outlineLevel="0" collapsed="false">
      <c r="A1" s="1" t="s">
        <v>0</v>
      </c>
    </row>
    <row r="2" customFormat="false" ht="30" hidden="false" customHeight="true" outlineLevel="0" collapsed="false">
      <c r="A2" s="2" t="s">
        <v>1</v>
      </c>
      <c r="B2" s="2"/>
      <c r="C2" s="2"/>
      <c r="D2" s="2"/>
      <c r="E2" s="2"/>
    </row>
    <row r="4" customFormat="false" ht="30" hidden="false" customHeight="true" outlineLevel="0" collapsed="false">
      <c r="A4" s="3" t="s">
        <v>2</v>
      </c>
      <c r="B4" s="4" t="s">
        <v>3</v>
      </c>
      <c r="C4" s="4"/>
      <c r="D4" s="4"/>
      <c r="E4" s="4"/>
    </row>
    <row r="5" customFormat="false" ht="30" hidden="false" customHeight="true" outlineLevel="0" collapsed="false">
      <c r="A5" s="3" t="s">
        <v>4</v>
      </c>
      <c r="B5" s="4" t="s">
        <v>5</v>
      </c>
      <c r="C5" s="4"/>
      <c r="D5" s="4"/>
      <c r="E5" s="4"/>
    </row>
    <row r="6" customFormat="false" ht="30" hidden="false" customHeight="true" outlineLevel="0" collapsed="false">
      <c r="A6" s="3" t="s">
        <v>6</v>
      </c>
      <c r="B6" s="4" t="s">
        <v>7</v>
      </c>
      <c r="C6" s="4"/>
      <c r="D6" s="4"/>
      <c r="E6" s="4"/>
    </row>
    <row r="7" customFormat="false" ht="30" hidden="false" customHeight="true" outlineLevel="0" collapsed="false">
      <c r="A7" s="3" t="s">
        <v>8</v>
      </c>
      <c r="B7" s="4" t="s">
        <v>9</v>
      </c>
      <c r="C7" s="4"/>
      <c r="D7" s="4"/>
      <c r="E7" s="4"/>
    </row>
    <row r="9" customFormat="false" ht="15" hidden="false" customHeight="false" outlineLevel="0" collapsed="false">
      <c r="A9" s="5" t="s">
        <v>10</v>
      </c>
      <c r="B9" s="6"/>
      <c r="C9" s="6"/>
      <c r="D9" s="6"/>
      <c r="E9" s="6"/>
    </row>
    <row r="10" customFormat="false" ht="23.85" hidden="false" customHeight="false" outlineLevel="0" collapsed="false">
      <c r="A10" s="7" t="s">
        <v>11</v>
      </c>
      <c r="B10" s="7" t="s">
        <v>12</v>
      </c>
      <c r="C10" s="7" t="s">
        <v>13</v>
      </c>
      <c r="D10" s="7" t="s">
        <v>14</v>
      </c>
      <c r="E10" s="7" t="s">
        <v>15</v>
      </c>
    </row>
    <row r="11" customFormat="false" ht="42" hidden="false" customHeight="true" outlineLevel="0" collapsed="false">
      <c r="A11" s="8" t="s">
        <v>16</v>
      </c>
      <c r="B11" s="9" t="s">
        <v>17</v>
      </c>
      <c r="C11" s="9" t="s">
        <v>18</v>
      </c>
      <c r="D11" s="9" t="s">
        <v>19</v>
      </c>
      <c r="E11" s="10" t="s">
        <v>20</v>
      </c>
    </row>
    <row r="12" customFormat="false" ht="42" hidden="false" customHeight="true" outlineLevel="0" collapsed="false">
      <c r="A12" s="11" t="s">
        <v>21</v>
      </c>
      <c r="B12" s="9" t="s">
        <v>22</v>
      </c>
      <c r="C12" s="9" t="s">
        <v>23</v>
      </c>
      <c r="D12" s="9" t="s">
        <v>24</v>
      </c>
      <c r="E12" s="10" t="s">
        <v>25</v>
      </c>
    </row>
    <row r="13" customFormat="false" ht="42" hidden="false" customHeight="true" outlineLevel="0" collapsed="false">
      <c r="A13" s="12" t="s">
        <v>26</v>
      </c>
      <c r="B13" s="9" t="s">
        <v>27</v>
      </c>
      <c r="C13" s="9" t="s">
        <v>28</v>
      </c>
      <c r="D13" s="9" t="s">
        <v>29</v>
      </c>
      <c r="E13" s="10" t="s">
        <v>30</v>
      </c>
    </row>
    <row r="14" customFormat="false" ht="42" hidden="false" customHeight="true" outlineLevel="0" collapsed="false">
      <c r="A14" s="13" t="s">
        <v>31</v>
      </c>
      <c r="B14" s="9" t="s">
        <v>32</v>
      </c>
      <c r="C14" s="9" t="s">
        <v>33</v>
      </c>
      <c r="D14" s="9" t="s">
        <v>19</v>
      </c>
      <c r="E14" s="10" t="s">
        <v>34</v>
      </c>
    </row>
    <row r="15" customFormat="false" ht="42" hidden="false" customHeight="true" outlineLevel="0" collapsed="false">
      <c r="A15" s="14" t="s">
        <v>35</v>
      </c>
      <c r="B15" s="9" t="s">
        <v>36</v>
      </c>
      <c r="C15" s="9" t="s">
        <v>37</v>
      </c>
      <c r="D15" s="9" t="s">
        <v>19</v>
      </c>
      <c r="E15" s="10" t="s">
        <v>38</v>
      </c>
    </row>
    <row r="16" customFormat="false" ht="42" hidden="false" customHeight="true" outlineLevel="0" collapsed="false">
      <c r="A16" s="15" t="s">
        <v>39</v>
      </c>
      <c r="B16" s="9" t="s">
        <v>40</v>
      </c>
      <c r="C16" s="9" t="s">
        <v>41</v>
      </c>
      <c r="D16" s="9" t="s">
        <v>19</v>
      </c>
      <c r="E16" s="10" t="s">
        <v>38</v>
      </c>
    </row>
    <row r="17" customFormat="false" ht="42" hidden="false" customHeight="true" outlineLevel="0" collapsed="false">
      <c r="A17" s="16" t="s">
        <v>42</v>
      </c>
      <c r="B17" s="9" t="s">
        <v>43</v>
      </c>
      <c r="C17" s="9" t="s">
        <v>44</v>
      </c>
      <c r="D17" s="9" t="s">
        <v>19</v>
      </c>
      <c r="E17" s="10" t="s">
        <v>45</v>
      </c>
    </row>
    <row r="19" customFormat="false" ht="15" hidden="false" customHeight="false" outlineLevel="0" collapsed="false">
      <c r="A19" s="17" t="s">
        <v>46</v>
      </c>
    </row>
  </sheetData>
  <mergeCells count="5">
    <mergeCell ref="A2:E2"/>
    <mergeCell ref="B4:E4"/>
    <mergeCell ref="B5:E5"/>
    <mergeCell ref="B6:E6"/>
    <mergeCell ref="B7:E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F3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34"/>
    <col collapsed="false" customWidth="true" hidden="false" outlineLevel="0" max="3" min="3" style="0" width="26"/>
    <col collapsed="false" customWidth="true" hidden="false" outlineLevel="0" max="5" min="4" style="0" width="34"/>
    <col collapsed="false" customWidth="true" hidden="false" outlineLevel="0" max="6" min="6" style="0" width="42"/>
  </cols>
  <sheetData>
    <row r="1" customFormat="false" ht="19.7" hidden="false" customHeight="false" outlineLevel="0" collapsed="false">
      <c r="A1" s="1" t="s">
        <v>47</v>
      </c>
    </row>
    <row r="2" customFormat="false" ht="30" hidden="false" customHeight="true" outlineLevel="0" collapsed="false">
      <c r="A2" s="2" t="s">
        <v>48</v>
      </c>
      <c r="B2" s="2"/>
      <c r="C2" s="2"/>
      <c r="D2" s="2"/>
      <c r="E2" s="2"/>
      <c r="F2" s="2"/>
    </row>
    <row r="4" customFormat="false" ht="15" hidden="false" customHeight="false" outlineLevel="0" collapsed="false">
      <c r="A4" s="5" t="s">
        <v>49</v>
      </c>
      <c r="B4" s="6"/>
      <c r="C4" s="6"/>
      <c r="D4" s="6"/>
      <c r="E4" s="6"/>
      <c r="F4" s="6"/>
    </row>
    <row r="5" customFormat="false" ht="30" hidden="false" customHeight="true" outlineLevel="0" collapsed="false">
      <c r="A5" s="18" t="s">
        <v>50</v>
      </c>
      <c r="B5" s="19" t="s">
        <v>51</v>
      </c>
      <c r="C5" s="20" t="s">
        <v>52</v>
      </c>
      <c r="D5" s="8" t="s">
        <v>53</v>
      </c>
    </row>
    <row r="6" customFormat="false" ht="15" hidden="false" customHeight="false" outlineLevel="0" collapsed="false">
      <c r="B6" s="21" t="s">
        <v>54</v>
      </c>
    </row>
    <row r="7" customFormat="false" ht="30" hidden="false" customHeight="true" outlineLevel="0" collapsed="false">
      <c r="A7" s="18" t="s">
        <v>55</v>
      </c>
      <c r="B7" s="19" t="s">
        <v>56</v>
      </c>
      <c r="C7" s="20" t="s">
        <v>52</v>
      </c>
      <c r="D7" s="11" t="s">
        <v>21</v>
      </c>
    </row>
    <row r="8" customFormat="false" ht="15" hidden="false" customHeight="false" outlineLevel="0" collapsed="false">
      <c r="B8" s="21" t="s">
        <v>54</v>
      </c>
    </row>
    <row r="9" customFormat="false" ht="30" hidden="false" customHeight="true" outlineLevel="0" collapsed="false">
      <c r="A9" s="18" t="s">
        <v>57</v>
      </c>
      <c r="B9" s="19" t="s">
        <v>58</v>
      </c>
      <c r="C9" s="20" t="s">
        <v>52</v>
      </c>
      <c r="D9" s="12" t="s">
        <v>26</v>
      </c>
    </row>
    <row r="10" customFormat="false" ht="15" hidden="false" customHeight="false" outlineLevel="0" collapsed="false">
      <c r="B10" s="21" t="s">
        <v>54</v>
      </c>
    </row>
    <row r="11" customFormat="false" ht="30" hidden="false" customHeight="true" outlineLevel="0" collapsed="false">
      <c r="A11" s="18" t="s">
        <v>59</v>
      </c>
      <c r="B11" s="19" t="s">
        <v>60</v>
      </c>
      <c r="C11" s="20" t="s">
        <v>52</v>
      </c>
      <c r="D11" s="13" t="s">
        <v>31</v>
      </c>
    </row>
    <row r="12" customFormat="false" ht="15" hidden="false" customHeight="false" outlineLevel="0" collapsed="false">
      <c r="B12" s="21" t="s">
        <v>54</v>
      </c>
    </row>
    <row r="13" customFormat="false" ht="30" hidden="false" customHeight="true" outlineLevel="0" collapsed="false">
      <c r="A13" s="18" t="s">
        <v>61</v>
      </c>
      <c r="B13" s="19" t="s">
        <v>62</v>
      </c>
      <c r="C13" s="20" t="s">
        <v>52</v>
      </c>
      <c r="D13" s="14" t="s">
        <v>63</v>
      </c>
      <c r="E13" s="15" t="s">
        <v>64</v>
      </c>
    </row>
    <row r="14" customFormat="false" ht="15" hidden="false" customHeight="false" outlineLevel="0" collapsed="false">
      <c r="B14" s="21" t="s">
        <v>54</v>
      </c>
    </row>
    <row r="15" customFormat="false" ht="30" hidden="false" customHeight="true" outlineLevel="0" collapsed="false">
      <c r="A15" s="18" t="s">
        <v>65</v>
      </c>
      <c r="B15" s="19" t="s">
        <v>66</v>
      </c>
      <c r="C15" s="20" t="s">
        <v>67</v>
      </c>
      <c r="D15" s="16" t="s">
        <v>42</v>
      </c>
    </row>
    <row r="17" customFormat="false" ht="15" hidden="false" customHeight="false" outlineLevel="0" collapsed="false">
      <c r="A17" s="5" t="s">
        <v>68</v>
      </c>
      <c r="B17" s="6"/>
      <c r="C17" s="6"/>
      <c r="D17" s="6"/>
      <c r="E17" s="6"/>
      <c r="F17" s="6"/>
    </row>
    <row r="18" customFormat="false" ht="15" hidden="false" customHeight="false" outlineLevel="0" collapsed="false">
      <c r="A18" s="7" t="s">
        <v>69</v>
      </c>
      <c r="B18" s="7" t="s">
        <v>70</v>
      </c>
      <c r="C18" s="7" t="s">
        <v>71</v>
      </c>
      <c r="D18" s="7" t="s">
        <v>72</v>
      </c>
      <c r="E18" s="7"/>
      <c r="F18" s="7" t="s">
        <v>73</v>
      </c>
    </row>
    <row r="19" customFormat="false" ht="66" hidden="false" customHeight="true" outlineLevel="0" collapsed="false">
      <c r="A19" s="10" t="s">
        <v>20</v>
      </c>
      <c r="B19" s="9" t="s">
        <v>51</v>
      </c>
      <c r="C19" s="8" t="s">
        <v>16</v>
      </c>
      <c r="D19" s="9" t="s">
        <v>74</v>
      </c>
      <c r="E19" s="9"/>
      <c r="F19" s="9" t="s">
        <v>75</v>
      </c>
    </row>
    <row r="20" customFormat="false" ht="66" hidden="false" customHeight="true" outlineLevel="0" collapsed="false">
      <c r="A20" s="10" t="s">
        <v>25</v>
      </c>
      <c r="B20" s="9" t="s">
        <v>56</v>
      </c>
      <c r="C20" s="11" t="s">
        <v>21</v>
      </c>
      <c r="D20" s="9" t="s">
        <v>76</v>
      </c>
      <c r="E20" s="9"/>
      <c r="F20" s="9" t="s">
        <v>77</v>
      </c>
    </row>
    <row r="21" customFormat="false" ht="66" hidden="false" customHeight="true" outlineLevel="0" collapsed="false">
      <c r="A21" s="10" t="s">
        <v>30</v>
      </c>
      <c r="B21" s="9" t="s">
        <v>58</v>
      </c>
      <c r="C21" s="12" t="s">
        <v>26</v>
      </c>
      <c r="D21" s="9" t="s">
        <v>78</v>
      </c>
      <c r="E21" s="9"/>
      <c r="F21" s="9" t="s">
        <v>79</v>
      </c>
    </row>
    <row r="22" customFormat="false" ht="66" hidden="false" customHeight="true" outlineLevel="0" collapsed="false">
      <c r="A22" s="10" t="s">
        <v>34</v>
      </c>
      <c r="B22" s="9" t="s">
        <v>60</v>
      </c>
      <c r="C22" s="13" t="s">
        <v>31</v>
      </c>
      <c r="D22" s="9" t="s">
        <v>80</v>
      </c>
      <c r="E22" s="9"/>
      <c r="F22" s="9" t="s">
        <v>81</v>
      </c>
    </row>
    <row r="23" customFormat="false" ht="66" hidden="false" customHeight="true" outlineLevel="0" collapsed="false">
      <c r="A23" s="10" t="s">
        <v>38</v>
      </c>
      <c r="B23" s="9" t="s">
        <v>62</v>
      </c>
      <c r="C23" s="14" t="s">
        <v>35</v>
      </c>
      <c r="D23" s="9" t="s">
        <v>82</v>
      </c>
      <c r="E23" s="9"/>
      <c r="F23" s="9" t="s">
        <v>83</v>
      </c>
    </row>
    <row r="24" customFormat="false" ht="66" hidden="false" customHeight="true" outlineLevel="0" collapsed="false">
      <c r="A24" s="10" t="s">
        <v>45</v>
      </c>
      <c r="B24" s="9" t="s">
        <v>66</v>
      </c>
      <c r="C24" s="16" t="s">
        <v>42</v>
      </c>
      <c r="D24" s="9" t="s">
        <v>84</v>
      </c>
      <c r="E24" s="9"/>
      <c r="F24" s="9" t="s">
        <v>85</v>
      </c>
    </row>
    <row r="26" customFormat="false" ht="15" hidden="false" customHeight="false" outlineLevel="0" collapsed="false">
      <c r="A26" s="5" t="s">
        <v>86</v>
      </c>
      <c r="B26" s="6"/>
      <c r="C26" s="6"/>
      <c r="D26" s="6"/>
      <c r="E26" s="6"/>
      <c r="F26" s="6"/>
    </row>
    <row r="27" customFormat="false" ht="27.75" hidden="false" customHeight="true" outlineLevel="0" collapsed="false">
      <c r="A27" s="22" t="s">
        <v>87</v>
      </c>
      <c r="B27" s="22"/>
      <c r="C27" s="4" t="s">
        <v>88</v>
      </c>
      <c r="D27" s="4"/>
      <c r="E27" s="4"/>
      <c r="F27" s="4"/>
    </row>
    <row r="28" customFormat="false" ht="27.75" hidden="false" customHeight="true" outlineLevel="0" collapsed="false">
      <c r="A28" s="22" t="s">
        <v>89</v>
      </c>
      <c r="B28" s="22"/>
      <c r="C28" s="4" t="s">
        <v>90</v>
      </c>
      <c r="D28" s="4"/>
      <c r="E28" s="4"/>
      <c r="F28" s="4"/>
    </row>
    <row r="29" customFormat="false" ht="27.75" hidden="false" customHeight="true" outlineLevel="0" collapsed="false">
      <c r="A29" s="22" t="s">
        <v>91</v>
      </c>
      <c r="B29" s="22"/>
      <c r="C29" s="4" t="s">
        <v>92</v>
      </c>
      <c r="D29" s="4"/>
      <c r="E29" s="4"/>
      <c r="F29" s="4"/>
    </row>
    <row r="30" customFormat="false" ht="27.75" hidden="false" customHeight="true" outlineLevel="0" collapsed="false">
      <c r="A30" s="22" t="s">
        <v>93</v>
      </c>
      <c r="B30" s="22"/>
      <c r="C30" s="4" t="s">
        <v>94</v>
      </c>
      <c r="D30" s="4"/>
      <c r="E30" s="4"/>
      <c r="F30" s="4"/>
    </row>
    <row r="31" customFormat="false" ht="27.75" hidden="false" customHeight="true" outlineLevel="0" collapsed="false">
      <c r="A31" s="22" t="s">
        <v>95</v>
      </c>
      <c r="B31" s="22"/>
      <c r="C31" s="4" t="s">
        <v>96</v>
      </c>
      <c r="D31" s="4"/>
      <c r="E31" s="4"/>
      <c r="F31" s="4"/>
    </row>
    <row r="32" customFormat="false" ht="27.75" hidden="false" customHeight="true" outlineLevel="0" collapsed="false">
      <c r="A32" s="22" t="s">
        <v>97</v>
      </c>
      <c r="B32" s="22"/>
      <c r="C32" s="4" t="s">
        <v>98</v>
      </c>
      <c r="D32" s="4"/>
      <c r="E32" s="4"/>
      <c r="F32" s="4"/>
    </row>
    <row r="33" customFormat="false" ht="27.75" hidden="false" customHeight="true" outlineLevel="0" collapsed="false">
      <c r="A33" s="22" t="s">
        <v>99</v>
      </c>
      <c r="B33" s="22"/>
      <c r="C33" s="4" t="s">
        <v>100</v>
      </c>
      <c r="D33" s="4"/>
      <c r="E33" s="4"/>
      <c r="F33" s="4"/>
    </row>
  </sheetData>
  <mergeCells count="21">
    <mergeCell ref="A2:F2"/>
    <mergeCell ref="D19:E19"/>
    <mergeCell ref="D20:E20"/>
    <mergeCell ref="D21:E21"/>
    <mergeCell ref="D22:E22"/>
    <mergeCell ref="D23:E23"/>
    <mergeCell ref="D24:E24"/>
    <mergeCell ref="A27:B27"/>
    <mergeCell ref="C27:F27"/>
    <mergeCell ref="A28:B28"/>
    <mergeCell ref="C28:F28"/>
    <mergeCell ref="A29:B29"/>
    <mergeCell ref="C29:F29"/>
    <mergeCell ref="A30:B30"/>
    <mergeCell ref="C30:F30"/>
    <mergeCell ref="A31:B31"/>
    <mergeCell ref="C31:F31"/>
    <mergeCell ref="A32:B32"/>
    <mergeCell ref="C32:F32"/>
    <mergeCell ref="A33:B33"/>
    <mergeCell ref="C33:F3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W2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7" topLeftCell="D8" activePane="bottomRight" state="frozen"/>
      <selection pane="topLeft" activeCell="A1" activeCellId="0" sqref="A1"/>
      <selection pane="topRight" activeCell="D1" activeCellId="0" sqref="D1"/>
      <selection pane="bottomLeft" activeCell="A8" activeCellId="0" sqref="A8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9"/>
    <col collapsed="false" customWidth="true" hidden="false" outlineLevel="0" max="3" min="3" style="0" width="10"/>
    <col collapsed="false" customWidth="true" hidden="false" outlineLevel="0" max="21" min="4" style="0" width="5.2"/>
    <col collapsed="false" customWidth="true" hidden="false" outlineLevel="0" max="22" min="22" style="0" width="48"/>
    <col collapsed="false" customWidth="true" hidden="false" outlineLevel="0" max="23" min="23" style="0" width="8"/>
  </cols>
  <sheetData>
    <row r="1" customFormat="false" ht="19.7" hidden="false" customHeight="false" outlineLevel="0" collapsed="false">
      <c r="A1" s="1" t="s">
        <v>101</v>
      </c>
    </row>
    <row r="2" customFormat="false" ht="30" hidden="false" customHeight="true" outlineLevel="0" collapsed="false">
      <c r="A2" s="2" t="s">
        <v>102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</row>
    <row r="4" customFormat="false" ht="15" hidden="false" customHeight="true" outlineLevel="0" collapsed="false">
      <c r="A4" s="23" t="s">
        <v>103</v>
      </c>
      <c r="D4" s="24" t="s">
        <v>104</v>
      </c>
      <c r="E4" s="24"/>
      <c r="F4" s="25" t="s">
        <v>105</v>
      </c>
      <c r="G4" s="25"/>
      <c r="H4" s="26" t="s">
        <v>106</v>
      </c>
      <c r="I4" s="26"/>
      <c r="J4" s="27" t="s">
        <v>107</v>
      </c>
      <c r="K4" s="27"/>
      <c r="L4" s="28" t="s">
        <v>108</v>
      </c>
      <c r="M4" s="28"/>
      <c r="N4" s="29" t="s">
        <v>109</v>
      </c>
      <c r="O4" s="29"/>
      <c r="P4" s="30" t="s">
        <v>110</v>
      </c>
      <c r="Q4" s="30"/>
      <c r="R4" s="31" t="s">
        <v>111</v>
      </c>
      <c r="S4" s="31"/>
      <c r="T4" s="32" t="s">
        <v>112</v>
      </c>
      <c r="U4" s="32"/>
    </row>
    <row r="6" customFormat="false" ht="23.85" hidden="false" customHeight="true" outlineLevel="0" collapsed="false">
      <c r="A6" s="7" t="s">
        <v>11</v>
      </c>
      <c r="B6" s="7" t="s">
        <v>113</v>
      </c>
      <c r="C6" s="7" t="s">
        <v>15</v>
      </c>
      <c r="D6" s="7" t="s">
        <v>114</v>
      </c>
      <c r="E6" s="7" t="s">
        <v>115</v>
      </c>
      <c r="F6" s="7" t="s">
        <v>116</v>
      </c>
      <c r="G6" s="7" t="s">
        <v>117</v>
      </c>
      <c r="H6" s="7" t="s">
        <v>118</v>
      </c>
      <c r="I6" s="7" t="s">
        <v>119</v>
      </c>
      <c r="J6" s="7" t="s">
        <v>120</v>
      </c>
      <c r="K6" s="7" t="s">
        <v>121</v>
      </c>
      <c r="L6" s="7" t="s">
        <v>122</v>
      </c>
      <c r="M6" s="7" t="s">
        <v>123</v>
      </c>
      <c r="N6" s="7" t="s">
        <v>124</v>
      </c>
      <c r="O6" s="7" t="s">
        <v>125</v>
      </c>
      <c r="P6" s="7" t="s">
        <v>126</v>
      </c>
      <c r="Q6" s="7" t="s">
        <v>127</v>
      </c>
      <c r="R6" s="7" t="s">
        <v>128</v>
      </c>
      <c r="S6" s="7" t="s">
        <v>129</v>
      </c>
      <c r="T6" s="7" t="s">
        <v>130</v>
      </c>
      <c r="U6" s="7" t="s">
        <v>131</v>
      </c>
      <c r="V6" s="7" t="s">
        <v>132</v>
      </c>
      <c r="W6" s="7"/>
    </row>
    <row r="7" customFormat="false" ht="30" hidden="false" customHeight="true" outlineLevel="0" collapsed="false">
      <c r="A7" s="11" t="s">
        <v>21</v>
      </c>
      <c r="B7" s="10" t="s">
        <v>133</v>
      </c>
      <c r="C7" s="10" t="s">
        <v>25</v>
      </c>
      <c r="D7" s="33" t="s">
        <v>134</v>
      </c>
      <c r="E7" s="33" t="s">
        <v>134</v>
      </c>
      <c r="F7" s="33" t="s">
        <v>134</v>
      </c>
      <c r="G7" s="33" t="s">
        <v>134</v>
      </c>
      <c r="H7" s="33" t="s">
        <v>134</v>
      </c>
      <c r="I7" s="33" t="s">
        <v>134</v>
      </c>
      <c r="J7" s="33" t="s">
        <v>134</v>
      </c>
      <c r="K7" s="33" t="s">
        <v>134</v>
      </c>
      <c r="L7" s="33" t="s">
        <v>134</v>
      </c>
      <c r="M7" s="33" t="s">
        <v>134</v>
      </c>
      <c r="N7" s="33" t="s">
        <v>134</v>
      </c>
      <c r="O7" s="34" t="n">
        <v>0</v>
      </c>
      <c r="P7" s="34" t="n">
        <v>0</v>
      </c>
      <c r="Q7" s="34" t="n">
        <v>0</v>
      </c>
      <c r="R7" s="35" t="n">
        <v>2</v>
      </c>
      <c r="S7" s="36" t="n">
        <v>3</v>
      </c>
      <c r="T7" s="37" t="n">
        <v>4</v>
      </c>
      <c r="U7" s="38" t="n">
        <v>5</v>
      </c>
      <c r="V7" s="9" t="s">
        <v>135</v>
      </c>
      <c r="W7" s="9"/>
    </row>
    <row r="8" customFormat="false" ht="30" hidden="false" customHeight="true" outlineLevel="0" collapsed="false">
      <c r="A8" s="11" t="s">
        <v>21</v>
      </c>
      <c r="B8" s="10" t="s">
        <v>133</v>
      </c>
      <c r="C8" s="10" t="s">
        <v>25</v>
      </c>
      <c r="D8" s="33" t="s">
        <v>134</v>
      </c>
      <c r="E8" s="33" t="s">
        <v>134</v>
      </c>
      <c r="F8" s="33" t="s">
        <v>134</v>
      </c>
      <c r="G8" s="33" t="s">
        <v>134</v>
      </c>
      <c r="H8" s="33" t="s">
        <v>134</v>
      </c>
      <c r="I8" s="33" t="s">
        <v>134</v>
      </c>
      <c r="J8" s="33" t="s">
        <v>134</v>
      </c>
      <c r="K8" s="34" t="n">
        <v>0</v>
      </c>
      <c r="L8" s="35" t="n">
        <v>2</v>
      </c>
      <c r="M8" s="36" t="n">
        <v>3</v>
      </c>
      <c r="N8" s="37" t="n">
        <v>4</v>
      </c>
      <c r="O8" s="39" t="n">
        <v>5</v>
      </c>
      <c r="P8" s="40" t="n">
        <v>6</v>
      </c>
      <c r="Q8" s="41" t="n">
        <v>7</v>
      </c>
      <c r="R8" s="42" t="n">
        <v>8</v>
      </c>
      <c r="S8" s="43" t="n">
        <v>9</v>
      </c>
      <c r="T8" s="43" t="n">
        <v>9</v>
      </c>
      <c r="U8" s="44" t="n">
        <v>9</v>
      </c>
      <c r="V8" s="9" t="s">
        <v>136</v>
      </c>
      <c r="W8" s="9"/>
    </row>
    <row r="9" customFormat="false" ht="30" hidden="false" customHeight="true" outlineLevel="0" collapsed="false">
      <c r="A9" s="12" t="s">
        <v>26</v>
      </c>
      <c r="B9" s="10" t="s">
        <v>133</v>
      </c>
      <c r="C9" s="10" t="s">
        <v>30</v>
      </c>
      <c r="D9" s="33" t="s">
        <v>134</v>
      </c>
      <c r="E9" s="34" t="n">
        <v>0</v>
      </c>
      <c r="F9" s="34" t="n">
        <v>0</v>
      </c>
      <c r="G9" s="34" t="n">
        <v>0</v>
      </c>
      <c r="H9" s="34" t="n">
        <v>0</v>
      </c>
      <c r="I9" s="34" t="n">
        <v>0</v>
      </c>
      <c r="J9" s="34" t="n">
        <v>0</v>
      </c>
      <c r="K9" s="34" t="n">
        <v>0</v>
      </c>
      <c r="L9" s="34" t="n">
        <v>0</v>
      </c>
      <c r="M9" s="35" t="n">
        <v>2</v>
      </c>
      <c r="N9" s="36" t="n">
        <v>3</v>
      </c>
      <c r="O9" s="37" t="n">
        <v>4</v>
      </c>
      <c r="P9" s="37" t="n">
        <v>4</v>
      </c>
      <c r="Q9" s="39" t="n">
        <v>5</v>
      </c>
      <c r="R9" s="39" t="n">
        <v>5</v>
      </c>
      <c r="S9" s="39" t="n">
        <v>5</v>
      </c>
      <c r="T9" s="39" t="n">
        <v>5</v>
      </c>
      <c r="U9" s="38" t="n">
        <v>5</v>
      </c>
      <c r="V9" s="9" t="s">
        <v>137</v>
      </c>
      <c r="W9" s="9"/>
    </row>
    <row r="10" customFormat="false" ht="30" hidden="false" customHeight="true" outlineLevel="0" collapsed="false">
      <c r="A10" s="12" t="s">
        <v>26</v>
      </c>
      <c r="B10" s="10" t="s">
        <v>133</v>
      </c>
      <c r="C10" s="10" t="s">
        <v>30</v>
      </c>
      <c r="D10" s="35" t="n">
        <v>2</v>
      </c>
      <c r="E10" s="36" t="n">
        <v>3</v>
      </c>
      <c r="F10" s="37" t="n">
        <v>4</v>
      </c>
      <c r="G10" s="37" t="n">
        <v>4</v>
      </c>
      <c r="H10" s="37" t="n">
        <v>4</v>
      </c>
      <c r="I10" s="36" t="n">
        <v>3</v>
      </c>
      <c r="J10" s="36" t="n">
        <v>3</v>
      </c>
      <c r="K10" s="37" t="n">
        <v>4</v>
      </c>
      <c r="L10" s="39" t="n">
        <v>5</v>
      </c>
      <c r="M10" s="37" t="n">
        <v>4</v>
      </c>
      <c r="N10" s="36" t="n">
        <v>3</v>
      </c>
      <c r="O10" s="36" t="n">
        <v>3</v>
      </c>
      <c r="P10" s="37" t="n">
        <v>4</v>
      </c>
      <c r="Q10" s="39" t="n">
        <v>5</v>
      </c>
      <c r="R10" s="40" t="n">
        <v>6</v>
      </c>
      <c r="S10" s="39" t="n">
        <v>5</v>
      </c>
      <c r="T10" s="39" t="n">
        <v>5</v>
      </c>
      <c r="U10" s="45" t="n">
        <v>4</v>
      </c>
      <c r="V10" s="9" t="s">
        <v>138</v>
      </c>
      <c r="W10" s="9"/>
    </row>
    <row r="11" customFormat="false" ht="30" hidden="false" customHeight="true" outlineLevel="0" collapsed="false">
      <c r="A11" s="12" t="s">
        <v>26</v>
      </c>
      <c r="B11" s="10" t="s">
        <v>133</v>
      </c>
      <c r="C11" s="10" t="s">
        <v>139</v>
      </c>
      <c r="D11" s="33"/>
      <c r="E11" s="33"/>
      <c r="F11" s="33"/>
      <c r="G11" s="33"/>
      <c r="H11" s="33"/>
      <c r="I11" s="33"/>
      <c r="J11" s="33"/>
      <c r="K11" s="33"/>
      <c r="L11" s="33"/>
      <c r="M11" s="33"/>
      <c r="N11" s="33"/>
      <c r="O11" s="33"/>
      <c r="P11" s="39" t="n">
        <v>5</v>
      </c>
      <c r="Q11" s="39" t="n">
        <v>5</v>
      </c>
      <c r="R11" s="39" t="n">
        <v>5</v>
      </c>
      <c r="S11" s="39" t="n">
        <v>5</v>
      </c>
      <c r="T11" s="39" t="n">
        <v>5</v>
      </c>
      <c r="U11" s="38" t="n">
        <v>5</v>
      </c>
      <c r="V11" s="9" t="s">
        <v>140</v>
      </c>
      <c r="W11" s="9"/>
    </row>
    <row r="12" customFormat="false" ht="30" hidden="false" customHeight="true" outlineLevel="0" collapsed="false">
      <c r="A12" s="13" t="s">
        <v>31</v>
      </c>
      <c r="B12" s="10" t="s">
        <v>133</v>
      </c>
      <c r="C12" s="10" t="s">
        <v>34</v>
      </c>
      <c r="D12" s="33" t="s">
        <v>134</v>
      </c>
      <c r="E12" s="33" t="s">
        <v>134</v>
      </c>
      <c r="F12" s="34" t="n">
        <v>0</v>
      </c>
      <c r="G12" s="35" t="n">
        <v>2</v>
      </c>
      <c r="H12" s="36" t="n">
        <v>3</v>
      </c>
      <c r="I12" s="37" t="n">
        <v>4</v>
      </c>
      <c r="J12" s="34" t="n">
        <v>0</v>
      </c>
      <c r="K12" s="34" t="n">
        <v>0</v>
      </c>
      <c r="L12" s="34" t="n">
        <v>0</v>
      </c>
      <c r="M12" s="34" t="n">
        <v>0</v>
      </c>
      <c r="N12" s="34" t="n">
        <v>0</v>
      </c>
      <c r="O12" s="34" t="n">
        <v>0</v>
      </c>
      <c r="P12" s="34" t="n">
        <v>0</v>
      </c>
      <c r="Q12" s="34" t="n">
        <v>0</v>
      </c>
      <c r="R12" s="35" t="n">
        <v>2</v>
      </c>
      <c r="S12" s="36" t="n">
        <v>3</v>
      </c>
      <c r="T12" s="37" t="n">
        <v>4</v>
      </c>
      <c r="U12" s="38" t="n">
        <v>5</v>
      </c>
      <c r="V12" s="9" t="s">
        <v>141</v>
      </c>
      <c r="W12" s="9"/>
    </row>
    <row r="13" customFormat="false" ht="30" hidden="false" customHeight="true" outlineLevel="0" collapsed="false">
      <c r="A13" s="14" t="s">
        <v>35</v>
      </c>
      <c r="B13" s="10" t="s">
        <v>133</v>
      </c>
      <c r="C13" s="10" t="s">
        <v>38</v>
      </c>
      <c r="D13" s="34" t="n">
        <v>0</v>
      </c>
      <c r="E13" s="34" t="n">
        <v>0</v>
      </c>
      <c r="F13" s="34" t="n">
        <v>0</v>
      </c>
      <c r="G13" s="34" t="n">
        <v>0</v>
      </c>
      <c r="H13" s="34" t="n">
        <v>0</v>
      </c>
      <c r="I13" s="34" t="n">
        <v>0</v>
      </c>
      <c r="J13" s="34" t="n">
        <v>0</v>
      </c>
      <c r="K13" s="34" t="n">
        <v>0</v>
      </c>
      <c r="L13" s="34" t="n">
        <v>0</v>
      </c>
      <c r="M13" s="34" t="n">
        <v>0</v>
      </c>
      <c r="N13" s="34" t="n">
        <v>0</v>
      </c>
      <c r="O13" s="34" t="n">
        <v>0</v>
      </c>
      <c r="P13" s="34" t="n">
        <v>0</v>
      </c>
      <c r="Q13" s="34" t="n">
        <v>0</v>
      </c>
      <c r="R13" s="35" t="n">
        <v>2</v>
      </c>
      <c r="S13" s="36" t="n">
        <v>3</v>
      </c>
      <c r="T13" s="37" t="n">
        <v>4</v>
      </c>
      <c r="U13" s="38" t="n">
        <v>5</v>
      </c>
      <c r="V13" s="9" t="s">
        <v>142</v>
      </c>
      <c r="W13" s="9"/>
    </row>
    <row r="14" customFormat="false" ht="30" hidden="false" customHeight="true" outlineLevel="0" collapsed="false">
      <c r="A14" s="14" t="s">
        <v>35</v>
      </c>
      <c r="B14" s="10" t="s">
        <v>133</v>
      </c>
      <c r="C14" s="10" t="s">
        <v>38</v>
      </c>
      <c r="D14" s="33"/>
      <c r="E14" s="33"/>
      <c r="F14" s="33"/>
      <c r="G14" s="33"/>
      <c r="H14" s="33"/>
      <c r="I14" s="33"/>
      <c r="J14" s="33"/>
      <c r="K14" s="33"/>
      <c r="L14" s="33"/>
      <c r="M14" s="33"/>
      <c r="N14" s="33"/>
      <c r="O14" s="33"/>
      <c r="P14" s="34" t="n">
        <v>0</v>
      </c>
      <c r="Q14" s="34" t="n">
        <v>0</v>
      </c>
      <c r="R14" s="34" t="n">
        <v>0</v>
      </c>
      <c r="S14" s="35" t="n">
        <v>2</v>
      </c>
      <c r="T14" s="36" t="n">
        <v>3</v>
      </c>
      <c r="U14" s="45" t="n">
        <v>4</v>
      </c>
      <c r="V14" s="9" t="s">
        <v>143</v>
      </c>
      <c r="W14" s="9"/>
    </row>
    <row r="15" customFormat="false" ht="30" hidden="false" customHeight="true" outlineLevel="0" collapsed="false">
      <c r="A15" s="15" t="s">
        <v>39</v>
      </c>
      <c r="B15" s="10" t="s">
        <v>133</v>
      </c>
      <c r="C15" s="10" t="s">
        <v>38</v>
      </c>
      <c r="D15" s="33" t="s">
        <v>134</v>
      </c>
      <c r="E15" s="33" t="s">
        <v>134</v>
      </c>
      <c r="F15" s="33" t="s">
        <v>134</v>
      </c>
      <c r="G15" s="33" t="s">
        <v>134</v>
      </c>
      <c r="H15" s="33" t="s">
        <v>134</v>
      </c>
      <c r="I15" s="33" t="s">
        <v>134</v>
      </c>
      <c r="J15" s="33" t="s">
        <v>134</v>
      </c>
      <c r="K15" s="33" t="s">
        <v>134</v>
      </c>
      <c r="L15" s="34" t="n">
        <v>0</v>
      </c>
      <c r="M15" s="34" t="n">
        <v>0</v>
      </c>
      <c r="N15" s="34" t="n">
        <v>0</v>
      </c>
      <c r="O15" s="34" t="n">
        <v>0</v>
      </c>
      <c r="P15" s="34" t="n">
        <v>0</v>
      </c>
      <c r="Q15" s="34" t="n">
        <v>0</v>
      </c>
      <c r="R15" s="35" t="n">
        <v>2</v>
      </c>
      <c r="S15" s="36" t="n">
        <v>3</v>
      </c>
      <c r="T15" s="37" t="n">
        <v>4</v>
      </c>
      <c r="U15" s="38" t="n">
        <v>5</v>
      </c>
      <c r="V15" s="9" t="s">
        <v>144</v>
      </c>
      <c r="W15" s="9"/>
    </row>
    <row r="16" customFormat="false" ht="30" hidden="false" customHeight="true" outlineLevel="0" collapsed="false">
      <c r="A16" s="16" t="s">
        <v>42</v>
      </c>
      <c r="B16" s="10" t="s">
        <v>133</v>
      </c>
      <c r="C16" s="10" t="s">
        <v>45</v>
      </c>
      <c r="D16" s="33" t="s">
        <v>134</v>
      </c>
      <c r="E16" s="33" t="s">
        <v>134</v>
      </c>
      <c r="F16" s="34" t="n">
        <v>0</v>
      </c>
      <c r="G16" s="34" t="n">
        <v>0</v>
      </c>
      <c r="H16" s="34" t="n">
        <v>0</v>
      </c>
      <c r="I16" s="34" t="n">
        <v>0</v>
      </c>
      <c r="J16" s="34" t="n">
        <v>0</v>
      </c>
      <c r="K16" s="34" t="n">
        <v>0</v>
      </c>
      <c r="L16" s="34" t="n">
        <v>0</v>
      </c>
      <c r="M16" s="34" t="n">
        <v>0</v>
      </c>
      <c r="N16" s="34" t="n">
        <v>0</v>
      </c>
      <c r="O16" s="34" t="n">
        <v>0</v>
      </c>
      <c r="P16" s="35" t="n">
        <v>2</v>
      </c>
      <c r="Q16" s="35" t="n">
        <v>2</v>
      </c>
      <c r="R16" s="36" t="n">
        <v>3</v>
      </c>
      <c r="S16" s="36" t="n">
        <v>3</v>
      </c>
      <c r="T16" s="37" t="n">
        <v>4</v>
      </c>
      <c r="U16" s="38" t="n">
        <v>5</v>
      </c>
      <c r="V16" s="9" t="s">
        <v>145</v>
      </c>
      <c r="W16" s="9"/>
    </row>
    <row r="17" customFormat="false" ht="30" hidden="false" customHeight="true" outlineLevel="0" collapsed="false">
      <c r="A17" s="14" t="s">
        <v>35</v>
      </c>
      <c r="B17" s="10" t="s">
        <v>133</v>
      </c>
      <c r="C17" s="10" t="s">
        <v>38</v>
      </c>
      <c r="D17" s="34" t="n">
        <v>0</v>
      </c>
      <c r="E17" s="34" t="n">
        <v>0</v>
      </c>
      <c r="F17" s="34" t="n">
        <v>0</v>
      </c>
      <c r="G17" s="34" t="n">
        <v>0</v>
      </c>
      <c r="H17" s="34" t="n">
        <v>0</v>
      </c>
      <c r="I17" s="34" t="n">
        <v>0</v>
      </c>
      <c r="J17" s="35" t="n">
        <v>2</v>
      </c>
      <c r="K17" s="36" t="n">
        <v>3</v>
      </c>
      <c r="L17" s="37" t="n">
        <v>4</v>
      </c>
      <c r="M17" s="39" t="n">
        <v>5</v>
      </c>
      <c r="N17" s="40" t="n">
        <v>6</v>
      </c>
      <c r="O17" s="41" t="n">
        <v>7</v>
      </c>
      <c r="P17" s="42" t="n">
        <v>8</v>
      </c>
      <c r="Q17" s="42" t="n">
        <v>8</v>
      </c>
      <c r="R17" s="42" t="n">
        <v>8</v>
      </c>
      <c r="S17" s="42" t="n">
        <v>8</v>
      </c>
      <c r="T17" s="42" t="n">
        <v>8</v>
      </c>
      <c r="U17" s="46" t="n">
        <v>8</v>
      </c>
      <c r="V17" s="9" t="s">
        <v>146</v>
      </c>
      <c r="W17" s="9"/>
    </row>
    <row r="18" customFormat="false" ht="30" hidden="false" customHeight="true" outlineLevel="0" collapsed="false">
      <c r="A18" s="8" t="s">
        <v>16</v>
      </c>
      <c r="B18" s="10" t="s">
        <v>133</v>
      </c>
      <c r="C18" s="10" t="s">
        <v>20</v>
      </c>
      <c r="D18" s="33"/>
      <c r="E18" s="33"/>
      <c r="F18" s="33"/>
      <c r="G18" s="33"/>
      <c r="H18" s="33"/>
      <c r="I18" s="33"/>
      <c r="J18" s="33"/>
      <c r="K18" s="33"/>
      <c r="L18" s="33"/>
      <c r="M18" s="33"/>
      <c r="N18" s="33"/>
      <c r="O18" s="33"/>
      <c r="P18" s="40" t="n">
        <v>6</v>
      </c>
      <c r="Q18" s="40" t="n">
        <v>6</v>
      </c>
      <c r="R18" s="41" t="n">
        <v>7</v>
      </c>
      <c r="S18" s="41" t="n">
        <v>7</v>
      </c>
      <c r="T18" s="42" t="n">
        <v>8</v>
      </c>
      <c r="U18" s="44" t="n">
        <v>9</v>
      </c>
      <c r="V18" s="9" t="s">
        <v>147</v>
      </c>
      <c r="W18" s="9"/>
    </row>
    <row r="19" customFormat="false" ht="30" hidden="false" customHeight="true" outlineLevel="0" collapsed="false">
      <c r="A19" s="14" t="s">
        <v>35</v>
      </c>
      <c r="B19" s="10" t="s">
        <v>148</v>
      </c>
      <c r="C19" s="10" t="s">
        <v>38</v>
      </c>
      <c r="D19" s="34" t="n">
        <v>0</v>
      </c>
      <c r="E19" s="34" t="n">
        <v>0</v>
      </c>
      <c r="F19" s="34" t="n">
        <v>0</v>
      </c>
      <c r="G19" s="34" t="n">
        <v>0</v>
      </c>
      <c r="H19" s="34" t="n">
        <v>0</v>
      </c>
      <c r="I19" s="34" t="n">
        <v>0</v>
      </c>
      <c r="J19" s="34" t="n">
        <v>0</v>
      </c>
      <c r="K19" s="34" t="n">
        <v>0</v>
      </c>
      <c r="L19" s="34" t="n">
        <v>0</v>
      </c>
      <c r="M19" s="34" t="n">
        <v>0</v>
      </c>
      <c r="N19" s="34" t="n">
        <v>0</v>
      </c>
      <c r="O19" s="34" t="n">
        <v>0</v>
      </c>
      <c r="P19" s="34" t="n">
        <v>0</v>
      </c>
      <c r="Q19" s="34" t="n">
        <v>0</v>
      </c>
      <c r="R19" s="35" t="n">
        <v>1</v>
      </c>
      <c r="S19" s="36" t="n">
        <v>2</v>
      </c>
      <c r="T19" s="37" t="n">
        <v>3</v>
      </c>
      <c r="U19" s="38" t="n">
        <v>4</v>
      </c>
      <c r="V19" s="9" t="s">
        <v>149</v>
      </c>
      <c r="W19" s="9"/>
    </row>
    <row r="21" customFormat="false" ht="15" hidden="false" customHeight="false" outlineLevel="0" collapsed="false">
      <c r="A21" s="17" t="s">
        <v>150</v>
      </c>
    </row>
  </sheetData>
  <mergeCells count="24">
    <mergeCell ref="A2:W2"/>
    <mergeCell ref="D4:E4"/>
    <mergeCell ref="F4:G4"/>
    <mergeCell ref="H4:I4"/>
    <mergeCell ref="J4:K4"/>
    <mergeCell ref="L4:M4"/>
    <mergeCell ref="N4:O4"/>
    <mergeCell ref="P4:Q4"/>
    <mergeCell ref="R4:S4"/>
    <mergeCell ref="T4:U4"/>
    <mergeCell ref="V6:W6"/>
    <mergeCell ref="V7:W7"/>
    <mergeCell ref="V8:W8"/>
    <mergeCell ref="V9:W9"/>
    <mergeCell ref="V10:W10"/>
    <mergeCell ref="V11:W11"/>
    <mergeCell ref="V12:W12"/>
    <mergeCell ref="V13:W13"/>
    <mergeCell ref="V14:W14"/>
    <mergeCell ref="V15:W15"/>
    <mergeCell ref="V16:W16"/>
    <mergeCell ref="V17:W17"/>
    <mergeCell ref="V18:W18"/>
    <mergeCell ref="V19:W1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F1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50"/>
    <col collapsed="false" customWidth="true" hidden="false" outlineLevel="0" max="4" min="3" style="0" width="12"/>
    <col collapsed="false" customWidth="true" hidden="false" outlineLevel="0" max="5" min="5" style="0" width="52"/>
    <col collapsed="false" customWidth="true" hidden="false" outlineLevel="0" max="6" min="6" style="0" width="28"/>
  </cols>
  <sheetData>
    <row r="1" customFormat="false" ht="19.7" hidden="false" customHeight="false" outlineLevel="0" collapsed="false">
      <c r="A1" s="1" t="s">
        <v>151</v>
      </c>
    </row>
    <row r="2" customFormat="false" ht="30" hidden="false" customHeight="true" outlineLevel="0" collapsed="false">
      <c r="A2" s="2" t="s">
        <v>152</v>
      </c>
      <c r="B2" s="2"/>
      <c r="C2" s="2"/>
      <c r="D2" s="2"/>
      <c r="E2" s="2"/>
      <c r="F2" s="2"/>
    </row>
    <row r="4" customFormat="false" ht="15" hidden="false" customHeight="false" outlineLevel="0" collapsed="false">
      <c r="A4" s="7" t="s">
        <v>153</v>
      </c>
      <c r="B4" s="7" t="s">
        <v>154</v>
      </c>
      <c r="C4" s="7" t="s">
        <v>155</v>
      </c>
      <c r="D4" s="7" t="s">
        <v>156</v>
      </c>
      <c r="E4" s="7" t="s">
        <v>157</v>
      </c>
      <c r="F4" s="7" t="s">
        <v>158</v>
      </c>
    </row>
    <row r="5" customFormat="false" ht="31.5" hidden="false" customHeight="true" outlineLevel="0" collapsed="false">
      <c r="A5" s="9" t="s">
        <v>159</v>
      </c>
      <c r="B5" s="9" t="s">
        <v>160</v>
      </c>
      <c r="C5" s="47" t="n">
        <v>3</v>
      </c>
      <c r="D5" s="9" t="s">
        <v>161</v>
      </c>
      <c r="E5" s="9" t="s">
        <v>162</v>
      </c>
      <c r="F5" s="48" t="s">
        <v>163</v>
      </c>
    </row>
    <row r="6" customFormat="false" ht="31.5" hidden="false" customHeight="true" outlineLevel="0" collapsed="false">
      <c r="A6" s="9" t="s">
        <v>159</v>
      </c>
      <c r="B6" s="9" t="s">
        <v>164</v>
      </c>
      <c r="C6" s="47" t="n">
        <v>1</v>
      </c>
      <c r="D6" s="9" t="s">
        <v>165</v>
      </c>
      <c r="E6" s="9" t="s">
        <v>166</v>
      </c>
      <c r="F6" s="48" t="s">
        <v>167</v>
      </c>
    </row>
    <row r="7" customFormat="false" ht="31.5" hidden="false" customHeight="true" outlineLevel="0" collapsed="false">
      <c r="A7" s="9" t="s">
        <v>168</v>
      </c>
      <c r="B7" s="9" t="s">
        <v>169</v>
      </c>
      <c r="C7" s="47" t="n">
        <v>3</v>
      </c>
      <c r="D7" s="9" t="s">
        <v>161</v>
      </c>
      <c r="E7" s="9" t="s">
        <v>170</v>
      </c>
      <c r="F7" s="48" t="s">
        <v>171</v>
      </c>
    </row>
    <row r="8" customFormat="false" ht="31.5" hidden="false" customHeight="true" outlineLevel="0" collapsed="false">
      <c r="A8" s="9" t="s">
        <v>26</v>
      </c>
      <c r="B8" s="9" t="s">
        <v>172</v>
      </c>
      <c r="C8" s="47" t="n">
        <v>5</v>
      </c>
      <c r="D8" s="9" t="s">
        <v>173</v>
      </c>
      <c r="E8" s="9" t="s">
        <v>174</v>
      </c>
      <c r="F8" s="48" t="s">
        <v>175</v>
      </c>
    </row>
    <row r="9" customFormat="false" ht="31.5" hidden="false" customHeight="true" outlineLevel="0" collapsed="false">
      <c r="A9" s="9" t="s">
        <v>26</v>
      </c>
      <c r="B9" s="9" t="s">
        <v>176</v>
      </c>
      <c r="C9" s="47" t="n">
        <v>6</v>
      </c>
      <c r="D9" s="9" t="s">
        <v>161</v>
      </c>
      <c r="E9" s="9" t="s">
        <v>177</v>
      </c>
      <c r="F9" s="48" t="s">
        <v>178</v>
      </c>
    </row>
    <row r="10" customFormat="false" ht="31.5" hidden="false" customHeight="true" outlineLevel="0" collapsed="false">
      <c r="A10" s="9" t="s">
        <v>26</v>
      </c>
      <c r="B10" s="9" t="s">
        <v>179</v>
      </c>
      <c r="C10" s="47" t="n">
        <v>1</v>
      </c>
      <c r="D10" s="9" t="s">
        <v>180</v>
      </c>
      <c r="E10" s="9" t="s">
        <v>181</v>
      </c>
      <c r="F10" s="48" t="s">
        <v>182</v>
      </c>
    </row>
    <row r="11" customFormat="false" ht="31.5" hidden="false" customHeight="true" outlineLevel="0" collapsed="false">
      <c r="A11" s="9" t="s">
        <v>26</v>
      </c>
      <c r="B11" s="9" t="s">
        <v>183</v>
      </c>
      <c r="C11" s="47" t="s">
        <v>184</v>
      </c>
      <c r="D11" s="9" t="s">
        <v>185</v>
      </c>
      <c r="E11" s="9" t="s">
        <v>186</v>
      </c>
      <c r="F11" s="48" t="s">
        <v>187</v>
      </c>
    </row>
    <row r="12" customFormat="false" ht="31.5" hidden="false" customHeight="true" outlineLevel="0" collapsed="false">
      <c r="A12" s="9" t="s">
        <v>188</v>
      </c>
      <c r="B12" s="9" t="s">
        <v>189</v>
      </c>
      <c r="C12" s="47" t="s">
        <v>190</v>
      </c>
      <c r="D12" s="9" t="s">
        <v>180</v>
      </c>
      <c r="E12" s="9" t="s">
        <v>191</v>
      </c>
      <c r="F12" s="48" t="s">
        <v>192</v>
      </c>
    </row>
    <row r="13" customFormat="false" ht="31.5" hidden="false" customHeight="true" outlineLevel="0" collapsed="false">
      <c r="A13" s="9" t="s">
        <v>188</v>
      </c>
      <c r="B13" s="9" t="s">
        <v>193</v>
      </c>
      <c r="C13" s="47" t="n">
        <v>12</v>
      </c>
      <c r="D13" s="9" t="s">
        <v>161</v>
      </c>
      <c r="E13" s="9" t="s">
        <v>194</v>
      </c>
      <c r="F13" s="48" t="s">
        <v>195</v>
      </c>
    </row>
    <row r="14" customFormat="false" ht="31.5" hidden="false" customHeight="true" outlineLevel="0" collapsed="false">
      <c r="A14" s="9" t="s">
        <v>196</v>
      </c>
      <c r="B14" s="9" t="s">
        <v>197</v>
      </c>
      <c r="C14" s="47" t="n">
        <v>12</v>
      </c>
      <c r="D14" s="9" t="s">
        <v>161</v>
      </c>
      <c r="E14" s="9" t="s">
        <v>198</v>
      </c>
      <c r="F14" s="48" t="s">
        <v>199</v>
      </c>
    </row>
    <row r="15" customFormat="false" ht="31.5" hidden="false" customHeight="true" outlineLevel="0" collapsed="false">
      <c r="A15" s="9" t="s">
        <v>200</v>
      </c>
      <c r="B15" s="9" t="s">
        <v>201</v>
      </c>
      <c r="C15" s="47" t="s">
        <v>202</v>
      </c>
      <c r="D15" s="9" t="s">
        <v>203</v>
      </c>
      <c r="E15" s="9" t="s">
        <v>204</v>
      </c>
      <c r="F15" s="48" t="s">
        <v>205</v>
      </c>
    </row>
    <row r="16" customFormat="false" ht="31.5" hidden="false" customHeight="true" outlineLevel="0" collapsed="false">
      <c r="A16" s="9" t="s">
        <v>206</v>
      </c>
      <c r="B16" s="9" t="s">
        <v>207</v>
      </c>
      <c r="C16" s="47" t="n">
        <v>2</v>
      </c>
      <c r="D16" s="9" t="s">
        <v>161</v>
      </c>
      <c r="E16" s="9" t="s">
        <v>208</v>
      </c>
      <c r="F16" s="48" t="s">
        <v>209</v>
      </c>
    </row>
  </sheetData>
  <mergeCells count="1">
    <mergeCell ref="A2:F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2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34"/>
    <col collapsed="false" customWidth="true" hidden="false" outlineLevel="0" max="3" min="3" style="0" width="18"/>
    <col collapsed="false" customWidth="true" hidden="false" outlineLevel="0" max="4" min="4" style="0" width="16"/>
    <col collapsed="false" customWidth="true" hidden="false" outlineLevel="0" max="5" min="5" style="0" width="50"/>
  </cols>
  <sheetData>
    <row r="1" customFormat="false" ht="19.7" hidden="false" customHeight="false" outlineLevel="0" collapsed="false">
      <c r="A1" s="1" t="s">
        <v>210</v>
      </c>
    </row>
    <row r="2" customFormat="false" ht="30" hidden="false" customHeight="true" outlineLevel="0" collapsed="false">
      <c r="A2" s="2" t="s">
        <v>211</v>
      </c>
      <c r="B2" s="2"/>
      <c r="C2" s="2"/>
      <c r="D2" s="2"/>
      <c r="E2" s="2"/>
    </row>
    <row r="4" customFormat="false" ht="15" hidden="false" customHeight="false" outlineLevel="0" collapsed="false">
      <c r="A4" s="7" t="s">
        <v>212</v>
      </c>
      <c r="B4" s="7" t="s">
        <v>213</v>
      </c>
      <c r="C4" s="7" t="s">
        <v>214</v>
      </c>
      <c r="D4" s="7" t="s">
        <v>215</v>
      </c>
      <c r="E4" s="7" t="s">
        <v>216</v>
      </c>
    </row>
    <row r="5" customFormat="false" ht="19.5" hidden="false" customHeight="true" outlineLevel="0" collapsed="false">
      <c r="A5" s="49" t="s">
        <v>217</v>
      </c>
      <c r="B5" s="10" t="s">
        <v>218</v>
      </c>
      <c r="C5" s="10" t="s">
        <v>20</v>
      </c>
      <c r="D5" s="9" t="s">
        <v>219</v>
      </c>
      <c r="E5" s="9" t="s">
        <v>220</v>
      </c>
    </row>
    <row r="6" customFormat="false" ht="19.5" hidden="false" customHeight="true" outlineLevel="0" collapsed="false">
      <c r="A6" s="50" t="s">
        <v>221</v>
      </c>
      <c r="B6" s="10" t="s">
        <v>30</v>
      </c>
      <c r="C6" s="10" t="s">
        <v>25</v>
      </c>
      <c r="D6" s="9" t="s">
        <v>219</v>
      </c>
      <c r="E6" s="9" t="s">
        <v>222</v>
      </c>
    </row>
    <row r="7" customFormat="false" ht="19.5" hidden="false" customHeight="true" outlineLevel="0" collapsed="false">
      <c r="A7" s="51" t="s">
        <v>190</v>
      </c>
      <c r="B7" s="10" t="s">
        <v>34</v>
      </c>
      <c r="C7" s="10" t="s">
        <v>30</v>
      </c>
      <c r="D7" s="9" t="s">
        <v>219</v>
      </c>
      <c r="E7" s="9"/>
    </row>
    <row r="8" customFormat="false" ht="19.5" hidden="false" customHeight="true" outlineLevel="0" collapsed="false">
      <c r="A8" s="52" t="s">
        <v>223</v>
      </c>
      <c r="B8" s="10" t="s">
        <v>38</v>
      </c>
      <c r="C8" s="10" t="s">
        <v>34</v>
      </c>
      <c r="D8" s="9" t="s">
        <v>224</v>
      </c>
      <c r="E8" s="9" t="s">
        <v>225</v>
      </c>
    </row>
    <row r="9" customFormat="false" ht="19.5" hidden="false" customHeight="true" outlineLevel="0" collapsed="false">
      <c r="A9" s="53" t="s">
        <v>226</v>
      </c>
      <c r="B9" s="10" t="s">
        <v>45</v>
      </c>
      <c r="C9" s="10" t="s">
        <v>38</v>
      </c>
      <c r="D9" s="9" t="s">
        <v>224</v>
      </c>
      <c r="E9" s="9"/>
    </row>
    <row r="10" customFormat="false" ht="19.5" hidden="false" customHeight="true" outlineLevel="0" collapsed="false">
      <c r="A10" s="54" t="s">
        <v>227</v>
      </c>
      <c r="B10" s="10" t="s">
        <v>228</v>
      </c>
      <c r="C10" s="10" t="s">
        <v>45</v>
      </c>
      <c r="D10" s="9" t="s">
        <v>224</v>
      </c>
      <c r="E10" s="9"/>
    </row>
    <row r="11" customFormat="false" ht="19.5" hidden="false" customHeight="true" outlineLevel="0" collapsed="false">
      <c r="A11" s="55" t="s">
        <v>185</v>
      </c>
      <c r="B11" s="10" t="s">
        <v>229</v>
      </c>
      <c r="C11" s="10" t="s">
        <v>228</v>
      </c>
      <c r="D11" s="9" t="s">
        <v>224</v>
      </c>
      <c r="E11" s="9" t="s">
        <v>230</v>
      </c>
    </row>
    <row r="12" customFormat="false" ht="19.5" hidden="false" customHeight="true" outlineLevel="0" collapsed="false">
      <c r="A12" s="56" t="s">
        <v>231</v>
      </c>
      <c r="B12" s="10" t="s">
        <v>232</v>
      </c>
      <c r="C12" s="10" t="s">
        <v>233</v>
      </c>
      <c r="D12" s="9" t="s">
        <v>234</v>
      </c>
      <c r="E12" s="9" t="s">
        <v>235</v>
      </c>
    </row>
    <row r="13" customFormat="false" ht="19.5" hidden="false" customHeight="true" outlineLevel="0" collapsed="false">
      <c r="A13" s="57" t="s">
        <v>236</v>
      </c>
      <c r="B13" s="10" t="s">
        <v>237</v>
      </c>
      <c r="C13" s="10" t="s">
        <v>233</v>
      </c>
      <c r="D13" s="9" t="s">
        <v>234</v>
      </c>
      <c r="E13" s="9" t="s">
        <v>238</v>
      </c>
    </row>
    <row r="15" customFormat="false" ht="15" hidden="false" customHeight="false" outlineLevel="0" collapsed="false">
      <c r="A15" s="5" t="s">
        <v>239</v>
      </c>
      <c r="B15" s="6"/>
      <c r="C15" s="6"/>
      <c r="D15" s="6"/>
      <c r="E15" s="6"/>
    </row>
    <row r="16" customFormat="false" ht="15" hidden="false" customHeight="false" outlineLevel="0" collapsed="false">
      <c r="A16" s="7" t="s">
        <v>240</v>
      </c>
      <c r="B16" s="7" t="s">
        <v>241</v>
      </c>
      <c r="C16" s="7" t="s">
        <v>242</v>
      </c>
    </row>
    <row r="17" customFormat="false" ht="30" hidden="false" customHeight="true" outlineLevel="0" collapsed="false">
      <c r="A17" s="9" t="s">
        <v>243</v>
      </c>
      <c r="B17" s="9" t="s">
        <v>244</v>
      </c>
      <c r="C17" s="10" t="s">
        <v>20</v>
      </c>
    </row>
    <row r="18" customFormat="false" ht="30" hidden="false" customHeight="true" outlineLevel="0" collapsed="false">
      <c r="A18" s="9" t="s">
        <v>245</v>
      </c>
      <c r="B18" s="9" t="s">
        <v>246</v>
      </c>
      <c r="C18" s="10" t="s">
        <v>25</v>
      </c>
    </row>
    <row r="19" customFormat="false" ht="30" hidden="false" customHeight="true" outlineLevel="0" collapsed="false">
      <c r="A19" s="9" t="s">
        <v>247</v>
      </c>
      <c r="B19" s="9" t="s">
        <v>248</v>
      </c>
      <c r="C19" s="10" t="s">
        <v>249</v>
      </c>
    </row>
    <row r="20" customFormat="false" ht="30" hidden="false" customHeight="true" outlineLevel="0" collapsed="false">
      <c r="A20" s="9" t="s">
        <v>250</v>
      </c>
      <c r="B20" s="9" t="s">
        <v>251</v>
      </c>
      <c r="C20" s="10" t="s">
        <v>252</v>
      </c>
    </row>
    <row r="21" customFormat="false" ht="30" hidden="false" customHeight="true" outlineLevel="0" collapsed="false">
      <c r="A21" s="9" t="s">
        <v>253</v>
      </c>
      <c r="B21" s="9" t="s">
        <v>254</v>
      </c>
      <c r="C21" s="10" t="s">
        <v>219</v>
      </c>
    </row>
  </sheetData>
  <mergeCells count="1">
    <mergeCell ref="A2:E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C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38"/>
    <col collapsed="false" customWidth="true" hidden="false" outlineLevel="0" max="2" min="2" style="0" width="48"/>
    <col collapsed="false" customWidth="true" hidden="false" outlineLevel="0" max="3" min="3" style="0" width="62"/>
  </cols>
  <sheetData>
    <row r="1" customFormat="false" ht="19.7" hidden="false" customHeight="false" outlineLevel="0" collapsed="false">
      <c r="A1" s="1" t="s">
        <v>255</v>
      </c>
    </row>
    <row r="2" customFormat="false" ht="30" hidden="false" customHeight="true" outlineLevel="0" collapsed="false">
      <c r="A2" s="2" t="s">
        <v>256</v>
      </c>
      <c r="B2" s="2"/>
      <c r="C2" s="2"/>
    </row>
    <row r="4" customFormat="false" ht="15" hidden="false" customHeight="false" outlineLevel="0" collapsed="false">
      <c r="A4" s="7" t="s">
        <v>257</v>
      </c>
      <c r="B4" s="7" t="s">
        <v>258</v>
      </c>
      <c r="C4" s="7" t="s">
        <v>259</v>
      </c>
    </row>
    <row r="5" customFormat="false" ht="43.5" hidden="false" customHeight="true" outlineLevel="0" collapsed="false">
      <c r="A5" s="58" t="s">
        <v>260</v>
      </c>
      <c r="B5" s="9" t="s">
        <v>261</v>
      </c>
      <c r="C5" s="9" t="s">
        <v>262</v>
      </c>
    </row>
    <row r="6" customFormat="false" ht="43.5" hidden="false" customHeight="true" outlineLevel="0" collapsed="false">
      <c r="A6" s="58" t="s">
        <v>263</v>
      </c>
      <c r="B6" s="9" t="s">
        <v>264</v>
      </c>
      <c r="C6" s="9" t="s">
        <v>265</v>
      </c>
    </row>
    <row r="7" customFormat="false" ht="43.5" hidden="false" customHeight="true" outlineLevel="0" collapsed="false">
      <c r="A7" s="58" t="s">
        <v>266</v>
      </c>
      <c r="B7" s="9" t="s">
        <v>267</v>
      </c>
      <c r="C7" s="9" t="s">
        <v>268</v>
      </c>
    </row>
    <row r="8" customFormat="false" ht="43.5" hidden="false" customHeight="true" outlineLevel="0" collapsed="false">
      <c r="A8" s="58" t="s">
        <v>269</v>
      </c>
      <c r="B8" s="9" t="s">
        <v>270</v>
      </c>
      <c r="C8" s="9" t="s">
        <v>268</v>
      </c>
    </row>
    <row r="9" customFormat="false" ht="43.5" hidden="false" customHeight="true" outlineLevel="0" collapsed="false">
      <c r="A9" s="58" t="s">
        <v>271</v>
      </c>
      <c r="B9" s="9" t="s">
        <v>272</v>
      </c>
      <c r="C9" s="9" t="s">
        <v>273</v>
      </c>
    </row>
    <row r="10" customFormat="false" ht="43.5" hidden="false" customHeight="true" outlineLevel="0" collapsed="false">
      <c r="A10" s="58" t="s">
        <v>274</v>
      </c>
      <c r="B10" s="9" t="s">
        <v>275</v>
      </c>
      <c r="C10" s="9" t="s">
        <v>276</v>
      </c>
    </row>
    <row r="11" customFormat="false" ht="43.5" hidden="false" customHeight="true" outlineLevel="0" collapsed="false">
      <c r="A11" s="58" t="s">
        <v>277</v>
      </c>
      <c r="B11" s="9" t="s">
        <v>278</v>
      </c>
      <c r="C11" s="9" t="s">
        <v>279</v>
      </c>
    </row>
    <row r="12" customFormat="false" ht="43.5" hidden="false" customHeight="true" outlineLevel="0" collapsed="false">
      <c r="A12" s="58" t="s">
        <v>280</v>
      </c>
      <c r="B12" s="9" t="s">
        <v>281</v>
      </c>
      <c r="C12" s="9" t="s">
        <v>282</v>
      </c>
    </row>
    <row r="13" customFormat="false" ht="43.5" hidden="false" customHeight="true" outlineLevel="0" collapsed="false">
      <c r="A13" s="58" t="s">
        <v>283</v>
      </c>
      <c r="B13" s="9" t="s">
        <v>284</v>
      </c>
      <c r="C13" s="9" t="s">
        <v>285</v>
      </c>
    </row>
    <row r="14" customFormat="false" ht="43.5" hidden="false" customHeight="true" outlineLevel="0" collapsed="false">
      <c r="A14" s="58" t="s">
        <v>286</v>
      </c>
      <c r="B14" s="9" t="s">
        <v>287</v>
      </c>
      <c r="C14" s="9" t="s">
        <v>288</v>
      </c>
    </row>
  </sheetData>
  <mergeCells count="1">
    <mergeCell ref="A2:C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I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4"/>
    <col collapsed="false" customWidth="true" hidden="false" outlineLevel="0" max="3" min="3" style="0" width="9"/>
    <col collapsed="false" customWidth="true" hidden="false" outlineLevel="0" max="4" min="4" style="0" width="14"/>
    <col collapsed="false" customWidth="true" hidden="false" outlineLevel="0" max="5" min="5" style="0" width="9"/>
    <col collapsed="false" customWidth="true" hidden="false" outlineLevel="0" max="6" min="6" style="0" width="14"/>
    <col collapsed="false" customWidth="true" hidden="false" outlineLevel="0" max="7" min="7" style="0" width="9"/>
    <col collapsed="false" customWidth="true" hidden="false" outlineLevel="0" max="8" min="8" style="0" width="14"/>
    <col collapsed="false" customWidth="true" hidden="false" outlineLevel="0" max="9" min="9" style="0" width="9"/>
  </cols>
  <sheetData>
    <row r="1" customFormat="false" ht="19.7" hidden="false" customHeight="false" outlineLevel="0" collapsed="false">
      <c r="A1" s="1" t="s">
        <v>289</v>
      </c>
    </row>
    <row r="2" customFormat="false" ht="30" hidden="false" customHeight="true" outlineLevel="0" collapsed="false">
      <c r="A2" s="2" t="s">
        <v>290</v>
      </c>
      <c r="B2" s="2"/>
      <c r="C2" s="2"/>
      <c r="D2" s="2"/>
      <c r="E2" s="2"/>
      <c r="F2" s="2"/>
      <c r="G2" s="2"/>
      <c r="H2" s="2"/>
      <c r="I2" s="2"/>
    </row>
    <row r="4" customFormat="false" ht="43.5" hidden="false" customHeight="true" outlineLevel="0" collapsed="false">
      <c r="A4" s="7" t="s">
        <v>11</v>
      </c>
      <c r="B4" s="7" t="s">
        <v>291</v>
      </c>
      <c r="C4" s="7" t="s">
        <v>292</v>
      </c>
      <c r="D4" s="7" t="s">
        <v>293</v>
      </c>
      <c r="E4" s="7" t="s">
        <v>292</v>
      </c>
      <c r="F4" s="7" t="s">
        <v>294</v>
      </c>
      <c r="G4" s="7" t="s">
        <v>292</v>
      </c>
      <c r="H4" s="7" t="s">
        <v>295</v>
      </c>
      <c r="I4" s="7" t="s">
        <v>292</v>
      </c>
    </row>
    <row r="5" customFormat="false" ht="23.85" hidden="false" customHeight="false" outlineLevel="0" collapsed="false">
      <c r="A5" s="8" t="s">
        <v>16</v>
      </c>
      <c r="B5" s="59"/>
      <c r="C5" s="60" t="str">
        <f aca="false">IF($B$12=0,"",B5/$B$12)</f>
        <v/>
      </c>
      <c r="D5" s="59"/>
      <c r="E5" s="60" t="str">
        <f aca="false">IF($D$12=0,"",D5/$D$12)</f>
        <v/>
      </c>
      <c r="F5" s="59"/>
      <c r="G5" s="60" t="str">
        <f aca="false">IF($F$12=0,"",F5/$F$12)</f>
        <v/>
      </c>
      <c r="H5" s="59"/>
      <c r="I5" s="60" t="str">
        <f aca="false">IF($H$12=0,"",H5/$H$12)</f>
        <v/>
      </c>
    </row>
    <row r="6" customFormat="false" ht="15" hidden="false" customHeight="false" outlineLevel="0" collapsed="false">
      <c r="A6" s="11" t="s">
        <v>21</v>
      </c>
      <c r="B6" s="59"/>
      <c r="C6" s="60" t="str">
        <f aca="false">IF($B$12=0,"",B6/$B$12)</f>
        <v/>
      </c>
      <c r="D6" s="59"/>
      <c r="E6" s="60" t="str">
        <f aca="false">IF($D$12=0,"",D6/$D$12)</f>
        <v/>
      </c>
      <c r="F6" s="59"/>
      <c r="G6" s="60" t="str">
        <f aca="false">IF($F$12=0,"",F6/$F$12)</f>
        <v/>
      </c>
      <c r="H6" s="59"/>
      <c r="I6" s="60" t="str">
        <f aca="false">IF($H$12=0,"",H6/$H$12)</f>
        <v/>
      </c>
    </row>
    <row r="7" customFormat="false" ht="15" hidden="false" customHeight="false" outlineLevel="0" collapsed="false">
      <c r="A7" s="12" t="s">
        <v>26</v>
      </c>
      <c r="B7" s="59"/>
      <c r="C7" s="60" t="str">
        <f aca="false">IF($B$12=0,"",B7/$B$12)</f>
        <v/>
      </c>
      <c r="D7" s="59"/>
      <c r="E7" s="60" t="str">
        <f aca="false">IF($D$12=0,"",D7/$D$12)</f>
        <v/>
      </c>
      <c r="F7" s="59"/>
      <c r="G7" s="60" t="str">
        <f aca="false">IF($F$12=0,"",F7/$F$12)</f>
        <v/>
      </c>
      <c r="H7" s="59"/>
      <c r="I7" s="60" t="str">
        <f aca="false">IF($H$12=0,"",H7/$H$12)</f>
        <v/>
      </c>
    </row>
    <row r="8" customFormat="false" ht="15" hidden="false" customHeight="false" outlineLevel="0" collapsed="false">
      <c r="A8" s="13" t="s">
        <v>31</v>
      </c>
      <c r="B8" s="59"/>
      <c r="C8" s="60" t="str">
        <f aca="false">IF($B$12=0,"",B8/$B$12)</f>
        <v/>
      </c>
      <c r="D8" s="59"/>
      <c r="E8" s="60" t="str">
        <f aca="false">IF($D$12=0,"",D8/$D$12)</f>
        <v/>
      </c>
      <c r="F8" s="59"/>
      <c r="G8" s="60" t="str">
        <f aca="false">IF($F$12=0,"",F8/$F$12)</f>
        <v/>
      </c>
      <c r="H8" s="59"/>
      <c r="I8" s="60" t="str">
        <f aca="false">IF($H$12=0,"",H8/$H$12)</f>
        <v/>
      </c>
    </row>
    <row r="9" customFormat="false" ht="15" hidden="false" customHeight="false" outlineLevel="0" collapsed="false">
      <c r="A9" s="14" t="s">
        <v>35</v>
      </c>
      <c r="B9" s="59"/>
      <c r="C9" s="60" t="str">
        <f aca="false">IF($B$12=0,"",B9/$B$12)</f>
        <v/>
      </c>
      <c r="D9" s="59"/>
      <c r="E9" s="60" t="str">
        <f aca="false">IF($D$12=0,"",D9/$D$12)</f>
        <v/>
      </c>
      <c r="F9" s="59"/>
      <c r="G9" s="60" t="str">
        <f aca="false">IF($F$12=0,"",F9/$F$12)</f>
        <v/>
      </c>
      <c r="H9" s="59"/>
      <c r="I9" s="60" t="str">
        <f aca="false">IF($H$12=0,"",H9/$H$12)</f>
        <v/>
      </c>
    </row>
    <row r="10" customFormat="false" ht="15" hidden="false" customHeight="false" outlineLevel="0" collapsed="false">
      <c r="A10" s="15" t="s">
        <v>39</v>
      </c>
      <c r="B10" s="59"/>
      <c r="C10" s="60" t="str">
        <f aca="false">IF($B$12=0,"",B10/$B$12)</f>
        <v/>
      </c>
      <c r="D10" s="59"/>
      <c r="E10" s="60" t="str">
        <f aca="false">IF($D$12=0,"",D10/$D$12)</f>
        <v/>
      </c>
      <c r="F10" s="59"/>
      <c r="G10" s="60" t="str">
        <f aca="false">IF($F$12=0,"",F10/$F$12)</f>
        <v/>
      </c>
      <c r="H10" s="59"/>
      <c r="I10" s="60" t="str">
        <f aca="false">IF($H$12=0,"",H10/$H$12)</f>
        <v/>
      </c>
    </row>
    <row r="11" customFormat="false" ht="15" hidden="false" customHeight="false" outlineLevel="0" collapsed="false">
      <c r="A11" s="16" t="s">
        <v>42</v>
      </c>
      <c r="B11" s="59"/>
      <c r="C11" s="60" t="str">
        <f aca="false">IF($B$12=0,"",B11/$B$12)</f>
        <v/>
      </c>
      <c r="D11" s="59"/>
      <c r="E11" s="60" t="str">
        <f aca="false">IF($D$12=0,"",D11/$D$12)</f>
        <v/>
      </c>
      <c r="F11" s="59"/>
      <c r="G11" s="60" t="str">
        <f aca="false">IF($F$12=0,"",F11/$F$12)</f>
        <v/>
      </c>
      <c r="H11" s="59"/>
      <c r="I11" s="60" t="str">
        <f aca="false">IF($H$12=0,"",H11/$H$12)</f>
        <v/>
      </c>
    </row>
    <row r="12" customFormat="false" ht="15" hidden="false" customHeight="false" outlineLevel="0" collapsed="false">
      <c r="A12" s="23" t="s">
        <v>296</v>
      </c>
      <c r="B12" s="61" t="n">
        <f aca="false">SUM(B5:B11)</f>
        <v>0</v>
      </c>
      <c r="D12" s="61" t="n">
        <f aca="false">SUM(D5:D11)</f>
        <v>0</v>
      </c>
      <c r="F12" s="61" t="n">
        <f aca="false">SUM(F5:F11)</f>
        <v>0</v>
      </c>
      <c r="H12" s="61" t="n">
        <f aca="false">SUM(H5:H11)</f>
        <v>0</v>
      </c>
    </row>
    <row r="13" customFormat="false" ht="15" hidden="false" customHeight="false" outlineLevel="0" collapsed="false">
      <c r="A13" s="62" t="s">
        <v>297</v>
      </c>
      <c r="B13" s="63"/>
      <c r="D13" s="63"/>
      <c r="F13" s="63"/>
      <c r="H13" s="63"/>
    </row>
    <row r="14" customFormat="false" ht="15" hidden="false" customHeight="false" outlineLevel="0" collapsed="false">
      <c r="A14" s="23" t="s">
        <v>298</v>
      </c>
      <c r="B14" s="64" t="str">
        <f aca="false">IF((B12+B13)=0,"",B12/(B12+B13))</f>
        <v/>
      </c>
      <c r="D14" s="64" t="str">
        <f aca="false">IF((D12+D13)=0,"",D12/(D12+D13))</f>
        <v/>
      </c>
      <c r="F14" s="64" t="str">
        <f aca="false">IF((F12+F13)=0,"",F12/(F12+F13))</f>
        <v/>
      </c>
      <c r="H14" s="64" t="str">
        <f aca="false">IF((H12+H13)=0,"",H12/(H12+H13))</f>
        <v/>
      </c>
    </row>
    <row r="16" customFormat="false" ht="25.5" hidden="false" customHeight="true" outlineLevel="0" collapsed="false">
      <c r="A16" s="2" t="s">
        <v>299</v>
      </c>
      <c r="B16" s="2"/>
      <c r="C16" s="2"/>
      <c r="D16" s="2"/>
      <c r="E16" s="2"/>
      <c r="F16" s="2"/>
      <c r="G16" s="2"/>
      <c r="H16" s="2"/>
      <c r="I16" s="2"/>
    </row>
    <row r="17" customFormat="false" ht="25.5" hidden="false" customHeight="true" outlineLevel="0" collapsed="false">
      <c r="A17" s="2" t="s">
        <v>300</v>
      </c>
      <c r="B17" s="2"/>
      <c r="C17" s="2"/>
      <c r="D17" s="2"/>
      <c r="E17" s="2"/>
      <c r="F17" s="2"/>
      <c r="G17" s="2"/>
      <c r="H17" s="2"/>
      <c r="I17" s="2"/>
    </row>
    <row r="18" customFormat="false" ht="25.5" hidden="false" customHeight="true" outlineLevel="0" collapsed="false">
      <c r="A18" s="2" t="s">
        <v>301</v>
      </c>
      <c r="B18" s="2"/>
      <c r="C18" s="2"/>
      <c r="D18" s="2"/>
      <c r="E18" s="2"/>
      <c r="F18" s="2"/>
      <c r="G18" s="2"/>
      <c r="H18" s="2"/>
      <c r="I18" s="2"/>
    </row>
  </sheetData>
  <mergeCells count="4">
    <mergeCell ref="A2:I2"/>
    <mergeCell ref="A16:I16"/>
    <mergeCell ref="A17:I17"/>
    <mergeCell ref="A18:I1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B1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80"/>
    <col collapsed="false" customWidth="true" hidden="false" outlineLevel="0" max="2" min="2" style="0" width="70"/>
  </cols>
  <sheetData>
    <row r="1" customFormat="false" ht="19.7" hidden="false" customHeight="false" outlineLevel="0" collapsed="false">
      <c r="A1" s="1" t="s">
        <v>302</v>
      </c>
    </row>
    <row r="2" customFormat="false" ht="30" hidden="false" customHeight="true" outlineLevel="0" collapsed="false">
      <c r="A2" s="2"/>
      <c r="B2" s="2"/>
    </row>
    <row r="4" customFormat="false" ht="15" hidden="false" customHeight="false" outlineLevel="0" collapsed="false">
      <c r="A4" s="7" t="s">
        <v>303</v>
      </c>
      <c r="B4" s="7" t="s">
        <v>132</v>
      </c>
    </row>
    <row r="5" customFormat="false" ht="43.5" hidden="false" customHeight="true" outlineLevel="0" collapsed="false">
      <c r="A5" s="9" t="s">
        <v>304</v>
      </c>
      <c r="B5" s="9" t="s">
        <v>305</v>
      </c>
    </row>
    <row r="6" customFormat="false" ht="43.5" hidden="false" customHeight="true" outlineLevel="0" collapsed="false">
      <c r="A6" s="9" t="s">
        <v>306</v>
      </c>
      <c r="B6" s="9" t="s">
        <v>307</v>
      </c>
    </row>
    <row r="7" customFormat="false" ht="43.5" hidden="false" customHeight="true" outlineLevel="0" collapsed="false">
      <c r="A7" s="9" t="s">
        <v>308</v>
      </c>
      <c r="B7" s="9" t="s">
        <v>186</v>
      </c>
    </row>
    <row r="8" customFormat="false" ht="43.5" hidden="false" customHeight="true" outlineLevel="0" collapsed="false">
      <c r="A8" s="9" t="s">
        <v>309</v>
      </c>
      <c r="B8" s="9" t="s">
        <v>310</v>
      </c>
    </row>
    <row r="9" customFormat="false" ht="43.5" hidden="false" customHeight="true" outlineLevel="0" collapsed="false">
      <c r="A9" s="9" t="s">
        <v>311</v>
      </c>
      <c r="B9" s="9" t="s">
        <v>312</v>
      </c>
    </row>
    <row r="10" customFormat="false" ht="43.5" hidden="false" customHeight="true" outlineLevel="0" collapsed="false">
      <c r="A10" s="9" t="s">
        <v>313</v>
      </c>
      <c r="B10" s="9" t="s">
        <v>314</v>
      </c>
    </row>
    <row r="11" customFormat="false" ht="43.5" hidden="false" customHeight="true" outlineLevel="0" collapsed="false">
      <c r="A11" s="9" t="s">
        <v>315</v>
      </c>
      <c r="B11" s="9" t="s">
        <v>316</v>
      </c>
    </row>
  </sheetData>
  <mergeCells count="1">
    <mergeCell ref="A2:B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LibreOffice/26.8.1.1$MacOSX_AARCH64 LibreOffice_project/bf6ef2662401c7d6dce671ab4deb26ee0af3a7c1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2026-10-20T10:45:29Z</dcterms:created>
  <dc:creator>openpyxl</dc:creator>
  <dc:description/>
  <dc:language>en-GB</dc:language>
  <cp:lastModifiedBy/>
  <dcterms:modified xsi:type="dcterms:W3CDTF">2026-10-20T10:45:29Z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